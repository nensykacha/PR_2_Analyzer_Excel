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3C003DCB-C5B4-4E18-8995-CC48254C3021}" xr6:coauthVersionLast="47" xr6:coauthVersionMax="47" xr10:uidLastSave="{00000000-0000-0000-0000-000000000000}"/>
  <bookViews>
    <workbookView xWindow="-110" yWindow="-110" windowWidth="19420" windowHeight="10300" activeTab="4" xr2:uid="{00000000-000D-0000-FFFF-FFFF00000000}"/>
  </bookViews>
  <sheets>
    <sheet name="DashBoard" sheetId="12" r:id="rId1"/>
    <sheet name="Project Instructions" sheetId="1" r:id="rId2"/>
    <sheet name="Dataset" sheetId="2" r:id="rId3"/>
    <sheet name="Analysis" sheetId="3" r:id="rId4"/>
    <sheet name="Charts" sheetId="4" r:id="rId5"/>
    <sheet name="Scenario Summary" sheetId="11" r:id="rId6"/>
  </sheets>
  <externalReferences>
    <externalReference r:id="rId7"/>
  </externalReferences>
  <definedNames>
    <definedName name="NativeTimeline_Order_Date">#N/A</definedName>
    <definedName name="Slicer_Region">#N/A</definedName>
  </definedNames>
  <calcPr calcId="191029" iterate="1"/>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M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 i="2"/>
  <c r="C5" i="3"/>
  <c r="C6" i="3"/>
  <c r="C7" i="3"/>
  <c r="C8" i="3"/>
  <c r="C9" i="3"/>
  <c r="C10" i="3"/>
  <c r="C11" i="3"/>
  <c r="C12" i="3"/>
  <c r="C13" i="3"/>
  <c r="B5" i="3"/>
  <c r="B6" i="3"/>
  <c r="B7" i="3"/>
  <c r="B8" i="3"/>
  <c r="B9" i="3"/>
  <c r="B10" i="3"/>
  <c r="B11" i="3"/>
  <c r="B12" i="3"/>
  <c r="B13" i="3"/>
  <c r="C4" i="3"/>
  <c r="B4"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alcChain>
</file>

<file path=xl/sharedStrings.xml><?xml version="1.0" encoding="utf-8"?>
<sst xmlns="http://schemas.openxmlformats.org/spreadsheetml/2006/main" count="961" uniqueCount="145">
  <si>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</si>
  <si>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</si>
  <si>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</si>
  <si>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</si>
  <si>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</si>
  <si>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</si>
  <si>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</si>
  <si>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</si>
  <si>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</si>
  <si>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</si>
  <si>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</si>
  <si>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</si>
  <si>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</si>
  <si>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</si>
  <si>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</si>
  <si>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</si>
  <si>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</si>
  <si>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</si>
  <si>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</si>
  <si>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</si>
  <si>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</si>
  <si>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</si>
  <si>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</si>
  <si>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</si>
  <si>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</si>
  <si>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</si>
  <si>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</si>
  <si>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</si>
  <si>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</si>
  <si>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</si>
  <si>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</si>
  <si>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</si>
  <si>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</si>
  <si>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</si>
  <si>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</si>
  <si>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</si>
  <si>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</si>
  <si>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</si>
  <si>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</si>
  <si>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</si>
  <si>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</si>
  <si>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</si>
  <si>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</si>
  <si>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</si>
  <si>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</si>
  <si>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</si>
  <si>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</si>
  <si>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</si>
  <si>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</si>
  <si>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</si>
  <si>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</si>
  <si>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</si>
  <si>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</si>
  <si>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</si>
  <si>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</si>
  <si>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</si>
  <si>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</si>
  <si>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</si>
  <si>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</si>
  <si>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</si>
  <si>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</si>
  <si>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</si>
  <si>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</si>
  <si>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</si>
  <si>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</si>
  <si>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</si>
  <si>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</si>
  <si>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</si>
  <si>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</si>
  <si>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</si>
  <si>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</si>
  <si>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</si>
  <si>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</si>
  <si>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</si>
  <si>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</si>
  <si>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</si>
  <si>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</si>
  <si>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</si>
  <si>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Growth</t>
  </si>
  <si>
    <t>Time</t>
  </si>
  <si>
    <t>Rank</t>
  </si>
  <si>
    <t>Column Labels</t>
  </si>
  <si>
    <t>Grand Total</t>
  </si>
  <si>
    <t>Row Labels</t>
  </si>
  <si>
    <t>Sum of Sales</t>
  </si>
  <si>
    <t>Sep. Date</t>
  </si>
  <si>
    <t>Apr</t>
  </si>
  <si>
    <t>Sum of Profit</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</si>
  <si>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</si>
  <si>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</si>
  <si>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</si>
  <si>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</si>
  <si>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</si>
  <si>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</si>
  <si>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</si>
  <si>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</si>
  <si>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</si>
  <si>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</si>
  <si>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</si>
  <si>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</si>
  <si>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</si>
  <si>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</si>
  <si>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</si>
  <si>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</si>
  <si>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</si>
  <si>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</si>
  <si>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</si>
  <si>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</si>
  <si>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</si>
  <si>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</si>
  <si>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</si>
  <si>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</si>
  <si>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</si>
  <si>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</si>
  <si>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</si>
  <si>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</si>
  <si>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</si>
  <si>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</si>
  <si>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</si>
  <si>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</si>
  <si>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</si>
  <si>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</si>
  <si>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</si>
  <si>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</si>
  <si>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$G$2</t>
  </si>
  <si>
    <t>$I$2</t>
  </si>
  <si>
    <t>Created by DELL on 28-04-2026</t>
  </si>
  <si>
    <t>High Discount</t>
  </si>
  <si>
    <t>Low Discount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</si>
  <si>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</si>
  <si>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</si>
  <si>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</si>
  <si>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</si>
  <si>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</si>
  <si>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</si>
  <si>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</si>
  <si>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avg</t>
  </si>
  <si>
    <t>2025</t>
  </si>
  <si>
    <t>Jan</t>
  </si>
  <si>
    <t>Feb</t>
  </si>
  <si>
    <t>Mar</t>
  </si>
  <si>
    <t>Bar Chart</t>
  </si>
  <si>
    <t>Pie Chart</t>
  </si>
  <si>
    <t>Line Chart</t>
  </si>
  <si>
    <t>High Value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</si>
</sst>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Green]\↗\ 0.00;[Red]\↘\ \-0.00;[Blue]\→\ 0.00"/>
    <numFmt numFmtId="166" formatCode="dd/mm/yyyy\ hh:mm:ss\ AM/PM"/>
  </numFmts>
  <fonts count="19"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theme="1"/>
      <name val="Calibri"/>
      <family val="2"/>
      <scheme val="minor"/>
    </font>
    <font>
      <sz val="11"/>
      <color theme="1"/>
      <name val="Calibri"/>
      <family val="2"/>
    </font>
    <font>
      <b/>
      <sz val="12"/>
      <color theme="1"/>
      <name val="Calibri"/>
      <family val="2"/>
      <scheme val="minor"/>
    </font>
    <font>
      <b/>
      <sz val="14"/>
      <color theme="1"/>
      <name val="Calibri"/>
      <family val="2"/>
      <scheme val="minor"/>
    </font>
    <font>
      <i/>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8"/>
      <color theme="1"/>
      <name val="Calibri"/>
      <family val="2"/>
      <scheme val="minor"/>
    </font>
    <font>
      <b/>
      <sz val="10"/>
      <color theme="1"/>
      <name val="Calibri"/>
      <family val="2"/>
      <scheme val="minor"/>
    </font>
    <font>
      <b/>
      <sz val="20"/>
      <color theme="1"/>
      <name val="Calibri"/>
      <family val="2"/>
      <scheme val="minor"/>
    </font>
  </fonts>
  <fills count="12">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E9ECEF"/>
        <bgColor indexed="64"/>
      </patternFill>
    </fill>
    <fill>
      <patternFill patternType="solid">
        <fgColor rgb="FFE9ECEF"/>
        <bgColor indexed="24"/>
      </patternFill>
    </fill>
    <fill>
      <patternFill patternType="solid">
        <fgColor rgb="FFE9ECEF"/>
        <bgColor indexed="7"/>
      </patternFill>
    </fill>
    <fill>
      <patternFill patternType="solid">
        <fgColor theme="0" tint="-0.14999847407452621"/>
        <bgColor indexed="64"/>
      </patternFill>
    </fill>
    <fill>
      <patternFill patternType="solid">
        <fgColor theme="0" tint="-0.14999847407452621"/>
        <bgColor indexed="24"/>
      </patternFill>
    </fill>
    <fill>
      <patternFill patternType="solid">
        <fgColor rgb="FFFFF8E1"/>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auto="1"/>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thin">
        <color auto="1"/>
      </bottom>
      <diagonal/>
    </border>
    <border>
      <left/>
      <right style="thin">
        <color indexed="64"/>
      </right>
      <top/>
      <bottom style="medium">
        <color indexed="64"/>
      </bottom>
      <diagonal/>
    </border>
    <border>
      <left/>
      <right style="thin">
        <color indexed="64"/>
      </right>
      <top style="thin">
        <color indexed="64"/>
      </top>
      <bottom style="thin">
        <color auto="1"/>
      </bottom>
      <diagonal/>
    </border>
  </borders>
  <cellStyleXfs count="2">
    <xf numFmtId="0" fontId="0" fillId="0" borderId="0"/>
    <xf numFmtId="9" fontId="5" fillId="0" borderId="0" applyFont="0" applyFill="0" applyBorder="0" applyAlignment="0" applyProtection="0"/>
  </cellStyleXfs>
  <cellXfs count="78">
    <xf numFmtId="0" fontId="0" fillId="0" borderId="0" xfId="0"/>
    <xf numFmtId="0" fontId="2" fillId="2" borderId="1" xfId="0" applyFont="1" applyFill="1" applyBorder="1" applyAlignment="1">
      <alignment horizontal="center"/>
    </xf>
    <xf numFmtId="0" fontId="3" fillId="0" borderId="0" xfId="0" applyFont="1"/>
    <xf numFmtId="0" fontId="4" fillId="0" borderId="0" xfId="0" applyFont="1"/>
    <xf numFmtId="0" fontId="7" fillId="0" borderId="1" xfId="0" applyFont="1" applyBorder="1" applyAlignment="1">
      <alignment wrapText="1"/>
    </xf>
    <xf numFmtId="0" fontId="6" fillId="0" borderId="0" xfId="0" applyFont="1"/>
    <xf numFmtId="165" fontId="0" fillId="0" borderId="0" xfId="0" applyNumberFormat="1"/>
    <xf numFmtId="166" fontId="0" fillId="0" borderId="0" xfId="0" applyNumberFormat="1"/>
    <xf numFmtId="0" fontId="7" fillId="0" borderId="0" xfId="0" applyFont="1"/>
    <xf numFmtId="0" fontId="0" fillId="0" borderId="0" xfId="0" pivotButton="1"/>
    <xf numFmtId="0" fontId="0" fillId="0" borderId="0" xfId="0" applyAlignment="1">
      <alignment horizontal="left"/>
    </xf>
    <xf numFmtId="0" fontId="0" fillId="0" borderId="4" xfId="0" applyBorder="1"/>
    <xf numFmtId="0" fontId="0" fillId="0" borderId="2" xfId="0" applyBorder="1"/>
    <xf numFmtId="0" fontId="10" fillId="0" borderId="5" xfId="0" applyFont="1" applyBorder="1" applyAlignment="1">
      <alignment horizontal="center"/>
    </xf>
    <xf numFmtId="0" fontId="0" fillId="0" borderId="6" xfId="0" applyBorder="1"/>
    <xf numFmtId="0" fontId="0" fillId="0" borderId="6" xfId="0" applyBorder="1" applyAlignment="1">
      <alignment horizontal="center" vertical="center"/>
    </xf>
    <xf numFmtId="0" fontId="6" fillId="0" borderId="6" xfId="0" applyFont="1" applyBorder="1" applyAlignment="1">
      <alignment horizontal="center" vertical="center"/>
    </xf>
    <xf numFmtId="0" fontId="5" fillId="0" borderId="6" xfId="0" applyFont="1" applyBorder="1" applyAlignment="1">
      <alignment horizontal="center" vertical="center"/>
    </xf>
    <xf numFmtId="164" fontId="5" fillId="0" borderId="6" xfId="0" applyNumberFormat="1" applyFont="1" applyBorder="1" applyAlignment="1">
      <alignment horizontal="center" vertical="center"/>
    </xf>
    <xf numFmtId="165" fontId="0" fillId="0" borderId="6" xfId="0" applyNumberFormat="1" applyBorder="1" applyAlignment="1">
      <alignment horizontal="center" vertical="center"/>
    </xf>
    <xf numFmtId="166" fontId="0" fillId="0" borderId="6" xfId="0" applyNumberFormat="1" applyBorder="1" applyAlignment="1">
      <alignment horizontal="center" vertical="center"/>
    </xf>
    <xf numFmtId="0" fontId="5" fillId="0" borderId="6" xfId="0" applyFont="1" applyBorder="1"/>
    <xf numFmtId="0" fontId="11" fillId="3" borderId="7" xfId="0" applyFont="1" applyFill="1" applyBorder="1" applyAlignment="1">
      <alignment horizontal="left"/>
    </xf>
    <xf numFmtId="0" fontId="11" fillId="3" borderId="3" xfId="0" applyFont="1" applyFill="1" applyBorder="1" applyAlignment="1">
      <alignment horizontal="left"/>
    </xf>
    <xf numFmtId="0" fontId="12" fillId="4" borderId="0" xfId="0" applyFont="1" applyFill="1" applyAlignment="1">
      <alignment horizontal="left"/>
    </xf>
    <xf numFmtId="0" fontId="13" fillId="4" borderId="2" xfId="0" applyFont="1" applyFill="1" applyBorder="1" applyAlignment="1">
      <alignment horizontal="left"/>
    </xf>
    <xf numFmtId="0" fontId="12" fillId="4" borderId="4" xfId="0" applyFont="1" applyFill="1" applyBorder="1" applyAlignment="1">
      <alignment horizontal="left"/>
    </xf>
    <xf numFmtId="0" fontId="14" fillId="3" borderId="3" xfId="0" applyFont="1" applyFill="1" applyBorder="1" applyAlignment="1">
      <alignment horizontal="right"/>
    </xf>
    <xf numFmtId="0" fontId="14" fillId="3" borderId="7" xfId="0" applyFont="1" applyFill="1" applyBorder="1" applyAlignment="1">
      <alignment horizontal="right"/>
    </xf>
    <xf numFmtId="0" fontId="0" fillId="5" borderId="0" xfId="0" applyFill="1"/>
    <xf numFmtId="0" fontId="15" fillId="0" borderId="0" xfId="0" applyFont="1" applyAlignment="1">
      <alignment vertical="top" wrapText="1"/>
    </xf>
    <xf numFmtId="9" fontId="0" fillId="0" borderId="0" xfId="1" applyFont="1"/>
    <xf numFmtId="0" fontId="0" fillId="6" borderId="0" xfId="0" applyFill="1"/>
    <xf numFmtId="0" fontId="0" fillId="6" borderId="6" xfId="0" applyFill="1" applyBorder="1"/>
    <xf numFmtId="0" fontId="12" fillId="7" borderId="0" xfId="0" applyFont="1" applyFill="1" applyAlignment="1">
      <alignment horizontal="left"/>
    </xf>
    <xf numFmtId="0" fontId="15" fillId="6" borderId="0" xfId="0" applyFont="1" applyFill="1" applyAlignment="1">
      <alignment vertical="top" wrapText="1"/>
    </xf>
    <xf numFmtId="0" fontId="13" fillId="7" borderId="2" xfId="0" applyFont="1" applyFill="1" applyBorder="1" applyAlignment="1">
      <alignment horizontal="left"/>
    </xf>
    <xf numFmtId="0" fontId="0" fillId="6" borderId="2" xfId="0" applyFill="1" applyBorder="1"/>
    <xf numFmtId="0" fontId="0" fillId="8" borderId="0" xfId="0" applyFill="1"/>
    <xf numFmtId="0" fontId="12" fillId="7" borderId="4" xfId="0" applyFont="1" applyFill="1" applyBorder="1" applyAlignment="1">
      <alignment horizontal="left"/>
    </xf>
    <xf numFmtId="0" fontId="0" fillId="6" borderId="4" xfId="0" applyFill="1" applyBorder="1"/>
    <xf numFmtId="0" fontId="10" fillId="6" borderId="5" xfId="0" applyFont="1" applyFill="1" applyBorder="1" applyAlignment="1">
      <alignment horizontal="center"/>
    </xf>
    <xf numFmtId="0" fontId="10" fillId="6" borderId="8" xfId="0" applyFont="1" applyFill="1" applyBorder="1" applyAlignment="1">
      <alignment horizontal="centerContinuous"/>
    </xf>
    <xf numFmtId="0" fontId="0" fillId="6" borderId="9" xfId="0" applyFill="1" applyBorder="1"/>
    <xf numFmtId="0" fontId="0" fillId="6" borderId="10" xfId="0" applyFill="1" applyBorder="1"/>
    <xf numFmtId="0" fontId="0" fillId="6" borderId="11" xfId="0" applyFill="1" applyBorder="1"/>
    <xf numFmtId="0" fontId="10" fillId="6" borderId="12" xfId="0" applyFont="1" applyFill="1" applyBorder="1" applyAlignment="1">
      <alignment horizontal="center"/>
    </xf>
    <xf numFmtId="0" fontId="0" fillId="6" borderId="13" xfId="0" applyFill="1" applyBorder="1"/>
    <xf numFmtId="0" fontId="0" fillId="6" borderId="14" xfId="0" applyFill="1" applyBorder="1"/>
    <xf numFmtId="0" fontId="10" fillId="6" borderId="15" xfId="0" applyFont="1" applyFill="1" applyBorder="1" applyAlignment="1">
      <alignment horizontal="center"/>
    </xf>
    <xf numFmtId="0" fontId="0" fillId="6" borderId="16" xfId="0" applyFill="1" applyBorder="1"/>
    <xf numFmtId="0" fontId="8" fillId="10" borderId="3" xfId="0" applyFont="1" applyFill="1" applyBorder="1" applyAlignment="1">
      <alignment horizontal="left"/>
    </xf>
    <xf numFmtId="0" fontId="17" fillId="10" borderId="3" xfId="0" applyFont="1" applyFill="1" applyBorder="1" applyAlignment="1">
      <alignment horizontal="right"/>
    </xf>
    <xf numFmtId="0" fontId="8" fillId="10" borderId="7" xfId="0" applyFont="1" applyFill="1" applyBorder="1" applyAlignment="1">
      <alignment horizontal="left"/>
    </xf>
    <xf numFmtId="0" fontId="17" fillId="10" borderId="7" xfId="0" applyFont="1" applyFill="1" applyBorder="1" applyAlignment="1">
      <alignment horizontal="right"/>
    </xf>
    <xf numFmtId="0" fontId="10" fillId="6" borderId="17" xfId="0" applyFont="1" applyFill="1" applyBorder="1" applyAlignment="1">
      <alignment horizontal="centerContinuous"/>
    </xf>
    <xf numFmtId="0" fontId="0" fillId="0" borderId="14" xfId="0" applyBorder="1"/>
    <xf numFmtId="0" fontId="10" fillId="0" borderId="15" xfId="0" applyFont="1" applyBorder="1" applyAlignment="1">
      <alignment horizontal="center"/>
    </xf>
    <xf numFmtId="0" fontId="0" fillId="0" borderId="16" xfId="0" applyBorder="1"/>
    <xf numFmtId="0" fontId="0" fillId="0" borderId="10" xfId="0" applyBorder="1"/>
    <xf numFmtId="0" fontId="10" fillId="0" borderId="12" xfId="0" applyFont="1" applyBorder="1" applyAlignment="1">
      <alignment horizontal="centerContinuous"/>
    </xf>
    <xf numFmtId="0" fontId="0" fillId="0" borderId="11" xfId="0" applyBorder="1"/>
    <xf numFmtId="0" fontId="10" fillId="0" borderId="12" xfId="0" applyFont="1" applyBorder="1" applyAlignment="1">
      <alignment horizontal="center"/>
    </xf>
    <xf numFmtId="0" fontId="10" fillId="0" borderId="15" xfId="0" applyFont="1" applyBorder="1" applyAlignment="1">
      <alignment horizontal="centerContinuous"/>
    </xf>
    <xf numFmtId="0" fontId="8" fillId="11" borderId="6" xfId="0" applyFont="1" applyFill="1" applyBorder="1"/>
    <xf numFmtId="0" fontId="8" fillId="11" borderId="6" xfId="0" applyFont="1" applyFill="1" applyBorder="1" applyAlignment="1">
      <alignment horizontal="center" vertical="center"/>
    </xf>
    <xf numFmtId="165" fontId="8" fillId="11" borderId="6" xfId="0" applyNumberFormat="1" applyFont="1" applyFill="1" applyBorder="1" applyAlignment="1">
      <alignment horizontal="center" vertical="center"/>
    </xf>
    <xf numFmtId="166" fontId="8" fillId="11" borderId="6" xfId="0" applyNumberFormat="1" applyFont="1" applyFill="1" applyBorder="1" applyAlignment="1">
      <alignment horizontal="center" vertical="center"/>
    </xf>
    <xf numFmtId="0" fontId="9" fillId="9" borderId="6" xfId="0" applyFont="1" applyFill="1" applyBorder="1" applyAlignment="1">
      <alignment horizontal="center" vertical="center"/>
    </xf>
    <xf numFmtId="0" fontId="16" fillId="9" borderId="6" xfId="0" applyFont="1" applyFill="1" applyBorder="1" applyAlignment="1">
      <alignment horizontal="center" vertical="center"/>
    </xf>
    <xf numFmtId="0" fontId="1" fillId="9" borderId="6" xfId="0" applyFont="1" applyFill="1" applyBorder="1" applyAlignment="1">
      <alignment horizontal="center" vertical="center"/>
    </xf>
    <xf numFmtId="0" fontId="16" fillId="11" borderId="6" xfId="0" applyFont="1" applyFill="1" applyBorder="1" applyAlignment="1">
      <alignment horizontal="center"/>
    </xf>
    <xf numFmtId="0" fontId="9" fillId="11" borderId="6" xfId="0" applyFont="1" applyFill="1" applyBorder="1" applyAlignment="1">
      <alignment horizontal="center"/>
    </xf>
    <xf numFmtId="0" fontId="6" fillId="11" borderId="6" xfId="0" applyFont="1" applyFill="1" applyBorder="1" applyAlignment="1">
      <alignment horizontal="center"/>
    </xf>
    <xf numFmtId="0" fontId="9" fillId="11" borderId="8" xfId="0" applyFont="1" applyFill="1" applyBorder="1" applyAlignment="1">
      <alignment horizontal="center" vertical="center"/>
    </xf>
    <xf numFmtId="0" fontId="9" fillId="11" borderId="17" xfId="0" applyFont="1" applyFill="1" applyBorder="1" applyAlignment="1">
      <alignment horizontal="center" vertical="center"/>
    </xf>
    <xf numFmtId="0" fontId="18" fillId="11" borderId="6" xfId="0" applyFont="1" applyFill="1" applyBorder="1" applyAlignment="1">
      <alignment horizontal="center"/>
    </xf>
    <xf numFmtId="0" fontId="0" fillId="11" borderId="6" xfId="0" applyFill="1" applyBorder="1" applyAlignment="1">
      <alignment horizontal="center"/>
    </xf>
  </cellXfs>
  <cellStyles count="2">
    <cellStyle name="Normal" xfId="0" builtinId="0"/>
    <cellStyle name="Percent" xfId="1" builtinId="5"/>
  </cellStyles>
  <dxfs count="3">
    <dxf>
      <font>
        <b/>
        <i val="0"/>
        <color theme="1"/>
      </font>
      <fill>
        <patternFill>
          <bgColor theme="7" tint="0.39994506668294322"/>
        </patternFill>
      </fill>
      <border>
        <left/>
        <right/>
        <top style="thin">
          <color auto="1"/>
        </top>
        <bottom style="thin">
          <color auto="1"/>
        </bottom>
        <vertical/>
        <horizontal/>
      </border>
    </dxf>
    <dxf>
      <font>
        <b/>
        <sz val="11"/>
        <color theme="1"/>
      </font>
    </dxf>
    <dxf>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A06A0C96-4621-4F82-8A19-5839EAE9E7D5}">
      <tableStyleElement type="wholeTable" dxfId="2"/>
      <tableStyleElement type="headerRow" dxfId="1"/>
    </tableStyle>
  </tableStyles>
  <colors>
    <mruColors>
      <color rgb="FFFFF8E1"/>
      <color rgb="FFE9ECEF"/>
      <color rgb="FFF5F5F5"/>
      <color rgb="FFF8F9FA"/>
      <color rgb="FFB410A8"/>
      <color rgb="FF343A40"/>
      <color rgb="FFE9C3C1"/>
      <color rgb="FFFF99CC"/>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(1).xlsx]Charts!sum of sale</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Charts!$B$3:$B$4</c:f>
              <c:strCache>
                <c:ptCount val="1"/>
                <c:pt idx="0">
                  <c:v>Books</c:v>
                </c:pt>
              </c:strCache>
            </c:strRef>
          </c:tx>
          <c:spPr>
            <a:solidFill>
              <a:schemeClr val="accent1"/>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E45A-4A8B-8FC0-9D0B02E8C241}"/>
            </c:ext>
          </c:extLst>
        </c:ser>
        <c:ser>
          <c:idx val="1"/>
          <c:order val="1"/>
          <c:tx>
            <c:strRef>
              <c:f>Charts!$C$3:$C$4</c:f>
              <c:strCache>
                <c:ptCount val="1"/>
                <c:pt idx="0">
                  <c:v>Clothing</c:v>
                </c:pt>
              </c:strCache>
            </c:strRef>
          </c:tx>
          <c:spPr>
            <a:solidFill>
              <a:schemeClr val="accent2"/>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E45A-4A8B-8FC0-9D0B02E8C241}"/>
            </c:ext>
          </c:extLst>
        </c:ser>
        <c:ser>
          <c:idx val="2"/>
          <c:order val="2"/>
          <c:tx>
            <c:strRef>
              <c:f>Charts!$D$3:$D$4</c:f>
              <c:strCache>
                <c:ptCount val="1"/>
                <c:pt idx="0">
                  <c:v>Electronics</c:v>
                </c:pt>
              </c:strCache>
            </c:strRef>
          </c:tx>
          <c:spPr>
            <a:solidFill>
              <a:schemeClr val="accent3"/>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E45A-4A8B-8FC0-9D0B02E8C241}"/>
            </c:ext>
          </c:extLst>
        </c:ser>
        <c:ser>
          <c:idx val="3"/>
          <c:order val="3"/>
          <c:tx>
            <c:strRef>
              <c:f>Charts!$E$3:$E$4</c:f>
              <c:strCache>
                <c:ptCount val="1"/>
                <c:pt idx="0">
                  <c:v>Furniture</c:v>
                </c:pt>
              </c:strCache>
            </c:strRef>
          </c:tx>
          <c:spPr>
            <a:solidFill>
              <a:schemeClr val="accent4"/>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E45A-4A8B-8FC0-9D0B02E8C241}"/>
            </c:ext>
          </c:extLst>
        </c:ser>
        <c:ser>
          <c:idx val="4"/>
          <c:order val="4"/>
          <c:tx>
            <c:strRef>
              <c:f>Charts!$F$3:$F$4</c:f>
              <c:strCache>
                <c:ptCount val="1"/>
                <c:pt idx="0">
                  <c:v>Office Supplies</c:v>
                </c:pt>
              </c:strCache>
            </c:strRef>
          </c:tx>
          <c:spPr>
            <a:solidFill>
              <a:schemeClr val="accent5"/>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E45A-4A8B-8FC0-9D0B02E8C241}"/>
            </c:ext>
          </c:extLst>
        </c:ser>
        <c:dLbls>
          <c:showLegendKey val="0"/>
          <c:showVal val="0"/>
          <c:showCatName val="0"/>
          <c:showSerName val="0"/>
          <c:showPercent val="0"/>
          <c:showBubbleSize val="0"/>
        </c:dLbls>
        <c:gapWidth val="219"/>
        <c:overlap val="-27"/>
        <c:axId val="425861144"/>
        <c:axId val="425861864"/>
      </c:barChart>
      <c:catAx>
        <c:axId val="425861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61864"/>
        <c:crosses val="autoZero"/>
        <c:auto val="1"/>
        <c:lblAlgn val="ctr"/>
        <c:lblOffset val="100"/>
        <c:noMultiLvlLbl val="0"/>
      </c:catAx>
      <c:valAx>
        <c:axId val="425861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6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solidFill>
                  <a:schemeClr val="tx2"/>
                </a:solidFill>
              </a:rPr>
              <a:t>Region</a:t>
            </a:r>
            <a:r>
              <a:rPr lang="en-US" sz="1600" baseline="0">
                <a:solidFill>
                  <a:schemeClr val="tx2"/>
                </a:solidFill>
              </a:rPr>
              <a:t> total sale</a:t>
            </a:r>
            <a:endParaRPr lang="en-US" sz="1600">
              <a:solidFill>
                <a:schemeClr val="tx2"/>
              </a:solidFill>
            </a:endParaRPr>
          </a:p>
        </c:rich>
      </c:tx>
      <c:layout>
        <c:manualLayout>
          <c:xMode val="edge"/>
          <c:yMode val="edge"/>
          <c:x val="0.20938399141002334"/>
          <c:y val="2.8236832168347846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19475065616798"/>
          <c:y val="0.14796004666083407"/>
          <c:w val="0.40047572178477692"/>
          <c:h val="0.66745953630796151"/>
        </c:manualLayout>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AA-46FB-9A50-0EE2F3DD0B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AA-46FB-9A50-0EE2F3DD0B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CAA-46FB-9A50-0EE2F3DD0B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CAA-46FB-9A50-0EE2F3DD0B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CAA-46FB-9A50-0EE2F3DD0B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A-2CAA-46FB-9A50-0EE2F3DD0B8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1592738407699"/>
          <c:y val="0.30952391367745696"/>
          <c:w val="0.18174059492563427"/>
          <c:h val="0.44618328958880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9ECEF"/>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(1).xlsx]Charts!TIme Line</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Charts!$B$52:$B$53</c:f>
              <c:strCache>
                <c:ptCount val="1"/>
                <c:pt idx="0">
                  <c:v>2025</c:v>
                </c:pt>
              </c:strCache>
            </c:strRef>
          </c:tx>
          <c:spPr>
            <a:ln w="28575" cap="rnd">
              <a:solidFill>
                <a:schemeClr val="accent1"/>
              </a:solidFill>
              <a:round/>
            </a:ln>
            <a:effectLst/>
          </c:spPr>
          <c:marker>
            <c:symbol val="none"/>
          </c:marker>
          <c:cat>
            <c:strRef>
              <c:f>Charts!$A$54:$A$58</c:f>
              <c:strCache>
                <c:ptCount val="4"/>
                <c:pt idx="0">
                  <c:v>Jan</c:v>
                </c:pt>
                <c:pt idx="1">
                  <c:v>Feb</c:v>
                </c:pt>
                <c:pt idx="2">
                  <c:v>Mar</c:v>
                </c:pt>
                <c:pt idx="3">
                  <c:v>Apr</c:v>
                </c:pt>
              </c:strCache>
            </c:strRef>
          </c:cat>
          <c:val>
            <c:numRef>
              <c:f>Charts!$B$54:$B$58</c:f>
              <c:numCache>
                <c:formatCode>General</c:formatCode>
                <c:ptCount val="4"/>
                <c:pt idx="0">
                  <c:v>5763.4</c:v>
                </c:pt>
                <c:pt idx="1">
                  <c:v>5039.2300000000005</c:v>
                </c:pt>
                <c:pt idx="2">
                  <c:v>7071.3899999999994</c:v>
                </c:pt>
                <c:pt idx="3">
                  <c:v>1398.85</c:v>
                </c:pt>
              </c:numCache>
            </c:numRef>
          </c:val>
          <c:smooth val="0"/>
          <c:extLst>
            <c:ext xmlns:c16="http://schemas.microsoft.com/office/drawing/2014/chart" uri="{C3380CC4-5D6E-409C-BE32-E72D297353CC}">
              <c16:uniqueId val="{00000000-2FCF-4D12-9C93-4147DC8BA11F}"/>
            </c:ext>
          </c:extLst>
        </c:ser>
        <c:dLbls>
          <c:showLegendKey val="0"/>
          <c:showVal val="0"/>
          <c:showCatName val="0"/>
          <c:showSerName val="0"/>
          <c:showPercent val="0"/>
          <c:showBubbleSize val="0"/>
        </c:dLbls>
        <c:smooth val="0"/>
        <c:axId val="622877952"/>
        <c:axId val="622885512"/>
      </c:lineChart>
      <c:catAx>
        <c:axId val="6228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85512"/>
        <c:crosses val="autoZero"/>
        <c:auto val="1"/>
        <c:lblAlgn val="ctr"/>
        <c:lblOffset val="100"/>
        <c:noMultiLvlLbl val="0"/>
      </c:catAx>
      <c:valAx>
        <c:axId val="622885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(1).xlsx]Charts!sum of sale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Charts!$B$3:$B$4</c:f>
              <c:strCache>
                <c:ptCount val="1"/>
                <c:pt idx="0">
                  <c:v>Books</c:v>
                </c:pt>
              </c:strCache>
            </c:strRef>
          </c:tx>
          <c:spPr>
            <a:solidFill>
              <a:schemeClr val="accent1"/>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2016-4383-B00C-428EFD51CC9E}"/>
            </c:ext>
          </c:extLst>
        </c:ser>
        <c:ser>
          <c:idx val="1"/>
          <c:order val="1"/>
          <c:tx>
            <c:strRef>
              <c:f>Charts!$C$3:$C$4</c:f>
              <c:strCache>
                <c:ptCount val="1"/>
                <c:pt idx="0">
                  <c:v>Clothing</c:v>
                </c:pt>
              </c:strCache>
            </c:strRef>
          </c:tx>
          <c:spPr>
            <a:solidFill>
              <a:schemeClr val="accent2"/>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2016-4383-B00C-428EFD51CC9E}"/>
            </c:ext>
          </c:extLst>
        </c:ser>
        <c:ser>
          <c:idx val="2"/>
          <c:order val="2"/>
          <c:tx>
            <c:strRef>
              <c:f>Charts!$D$3:$D$4</c:f>
              <c:strCache>
                <c:ptCount val="1"/>
                <c:pt idx="0">
                  <c:v>Electronics</c:v>
                </c:pt>
              </c:strCache>
            </c:strRef>
          </c:tx>
          <c:spPr>
            <a:solidFill>
              <a:schemeClr val="accent3"/>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0-6699-40A9-8AD3-569F4B0C11C3}"/>
            </c:ext>
          </c:extLst>
        </c:ser>
        <c:ser>
          <c:idx val="3"/>
          <c:order val="3"/>
          <c:tx>
            <c:strRef>
              <c:f>Charts!$E$3:$E$4</c:f>
              <c:strCache>
                <c:ptCount val="1"/>
                <c:pt idx="0">
                  <c:v>Furniture</c:v>
                </c:pt>
              </c:strCache>
            </c:strRef>
          </c:tx>
          <c:spPr>
            <a:solidFill>
              <a:schemeClr val="accent4"/>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1-6699-40A9-8AD3-569F4B0C11C3}"/>
            </c:ext>
          </c:extLst>
        </c:ser>
        <c:ser>
          <c:idx val="4"/>
          <c:order val="4"/>
          <c:tx>
            <c:strRef>
              <c:f>Charts!$F$3:$F$4</c:f>
              <c:strCache>
                <c:ptCount val="1"/>
                <c:pt idx="0">
                  <c:v>Office Supplies</c:v>
                </c:pt>
              </c:strCache>
            </c:strRef>
          </c:tx>
          <c:spPr>
            <a:solidFill>
              <a:schemeClr val="accent5"/>
            </a:solidFill>
            <a:ln>
              <a:noFill/>
            </a:ln>
            <a:effectLst/>
          </c:spPr>
          <c:invertIfNegative val="0"/>
          <c:cat>
            <c:strRef>
              <c:f>Charts!$A$5:$A$10</c:f>
              <c:strCache>
                <c:ptCount val="5"/>
                <c:pt idx="0">
                  <c:v>Central</c:v>
                </c:pt>
                <c:pt idx="1">
                  <c:v>East</c:v>
                </c:pt>
                <c:pt idx="2">
                  <c:v>North</c:v>
                </c:pt>
                <c:pt idx="3">
                  <c:v>South</c:v>
                </c:pt>
                <c:pt idx="4">
                  <c:v>West</c:v>
                </c:pt>
              </c:strCache>
            </c:strRef>
          </c:cat>
          <c:val>
            <c:numRef>
              <c:f>Charts!$F$5:$F$10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2-6699-40A9-8AD3-569F4B0C11C3}"/>
            </c:ext>
          </c:extLst>
        </c:ser>
        <c:dLbls>
          <c:showLegendKey val="0"/>
          <c:showVal val="0"/>
          <c:showCatName val="0"/>
          <c:showSerName val="0"/>
          <c:showPercent val="0"/>
          <c:showBubbleSize val="0"/>
        </c:dLbls>
        <c:gapWidth val="219"/>
        <c:overlap val="-27"/>
        <c:axId val="425861144"/>
        <c:axId val="425861864"/>
      </c:barChart>
      <c:catAx>
        <c:axId val="425861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61864"/>
        <c:crosses val="autoZero"/>
        <c:auto val="1"/>
        <c:lblAlgn val="ctr"/>
        <c:lblOffset val="100"/>
        <c:noMultiLvlLbl val="0"/>
      </c:catAx>
      <c:valAx>
        <c:axId val="425861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61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AB-4EB4-BDF1-A4431F3C465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AB-4EB4-BDF1-A4431F3C465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AB-4EB4-BDF1-A4431F3C465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3AB-4EB4-BDF1-A4431F3C465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3AB-4EB4-BDF1-A4431F3C46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A-83AB-4EB4-BDF1-A4431F3C465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(1).xlsx]Charts!TIme Line</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Charts!$B$52:$B$53</c:f>
              <c:strCache>
                <c:ptCount val="1"/>
                <c:pt idx="0">
                  <c:v>2025</c:v>
                </c:pt>
              </c:strCache>
            </c:strRef>
          </c:tx>
          <c:spPr>
            <a:ln w="28575" cap="rnd">
              <a:solidFill>
                <a:schemeClr val="accent1"/>
              </a:solidFill>
              <a:round/>
            </a:ln>
            <a:effectLst/>
          </c:spPr>
          <c:marker>
            <c:symbol val="none"/>
          </c:marker>
          <c:cat>
            <c:strRef>
              <c:f>Charts!$A$54:$A$58</c:f>
              <c:strCache>
                <c:ptCount val="4"/>
                <c:pt idx="0">
                  <c:v>Jan</c:v>
                </c:pt>
                <c:pt idx="1">
                  <c:v>Feb</c:v>
                </c:pt>
                <c:pt idx="2">
                  <c:v>Mar</c:v>
                </c:pt>
                <c:pt idx="3">
                  <c:v>Apr</c:v>
                </c:pt>
              </c:strCache>
            </c:strRef>
          </c:cat>
          <c:val>
            <c:numRef>
              <c:f>Charts!$B$54:$B$58</c:f>
              <c:numCache>
                <c:formatCode>General</c:formatCode>
                <c:ptCount val="4"/>
                <c:pt idx="0">
                  <c:v>5763.4</c:v>
                </c:pt>
                <c:pt idx="1">
                  <c:v>5039.2300000000005</c:v>
                </c:pt>
                <c:pt idx="2">
                  <c:v>7071.3899999999994</c:v>
                </c:pt>
                <c:pt idx="3">
                  <c:v>1398.85</c:v>
                </c:pt>
              </c:numCache>
            </c:numRef>
          </c:val>
          <c:smooth val="0"/>
          <c:extLst>
            <c:ext xmlns:c16="http://schemas.microsoft.com/office/drawing/2014/chart" uri="{C3380CC4-5D6E-409C-BE32-E72D297353CC}">
              <c16:uniqueId val="{00000000-E9A7-4E95-804F-BADA6F194E37}"/>
            </c:ext>
          </c:extLst>
        </c:ser>
        <c:dLbls>
          <c:showLegendKey val="0"/>
          <c:showVal val="0"/>
          <c:showCatName val="0"/>
          <c:showSerName val="0"/>
          <c:showPercent val="0"/>
          <c:showBubbleSize val="0"/>
        </c:dLbls>
        <c:smooth val="0"/>
        <c:axId val="622877952"/>
        <c:axId val="622885512"/>
      </c:lineChart>
      <c:catAx>
        <c:axId val="6228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85512"/>
        <c:crosses val="autoZero"/>
        <c:auto val="1"/>
        <c:lblAlgn val="ctr"/>
        <c:lblOffset val="100"/>
        <c:noMultiLvlLbl val="0"/>
      </c:catAx>
      <c:valAx>
        <c:axId val="622885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57149</xdr:colOff>
      <xdr:row>0</xdr:row>
      <xdr:rowOff>86591</xdr:rowOff>
    </xdr:from>
    <xdr:ext cx="5888759" cy="600363"/>
    <xdr:sp macro="" textlink="">
      <xdr:nvSpPr>
        <xdr:cNvPr id="2" name="TextBox 1">
          <a:extLst>
            <a:ext uri="{FF2B5EF4-FFF2-40B4-BE49-F238E27FC236}">
              <a16:creationId xmlns:a16="http://schemas.microsoft.com/office/drawing/2014/main" id="{FD885BC3-D3F4-42EB-A75B-7C9EC48765F8}"/>
            </a:ext>
          </a:extLst>
        </xdr:cNvPr>
        <xdr:cNvSpPr txBox="1"/>
      </xdr:nvSpPr>
      <xdr:spPr>
        <a:xfrm>
          <a:off x="57149" y="86591"/>
          <a:ext cx="5888759" cy="600363"/>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noAutofit/>
        </a:bodyPr>
        <a:lstStyle/>
        <a:p>
          <a:r>
            <a:rPr lang="en-IN" sz="2400" b="1" cap="none" spc="50">
              <a:ln w="0"/>
              <a:solidFill>
                <a:schemeClr val="bg2"/>
              </a:solidFill>
              <a:effectLst>
                <a:innerShdw blurRad="63500" dist="50800" dir="13500000">
                  <a:srgbClr val="000000">
                    <a:alpha val="50000"/>
                  </a:srgbClr>
                </a:innerShdw>
              </a:effectLst>
              <a:latin typeface="Segoe UI Semibold" panose="020B0702040204020203" pitchFamily="34" charset="0"/>
              <a:cs typeface="Segoe UI Semibold" panose="020B0702040204020203" pitchFamily="34" charset="0"/>
            </a:rPr>
            <a:t>STRATEGIC SALES &amp; PROFIT INSIGHTS</a:t>
          </a:r>
        </a:p>
      </xdr:txBody>
    </xdr:sp>
    <xdr:clientData/>
  </xdr:oneCellAnchor>
  <xdr:twoCellAnchor>
    <xdr:from>
      <xdr:col>0</xdr:col>
      <xdr:colOff>50800</xdr:colOff>
      <xdr:row>5</xdr:row>
      <xdr:rowOff>82550</xdr:rowOff>
    </xdr:from>
    <xdr:to>
      <xdr:col>3</xdr:col>
      <xdr:colOff>182950</xdr:colOff>
      <xdr:row>10</xdr:row>
      <xdr:rowOff>61800</xdr:rowOff>
    </xdr:to>
    <xdr:sp macro="" textlink="[1]Charts!$G$10">
      <xdr:nvSpPr>
        <xdr:cNvPr id="3" name="Rectangle: Rounded Corners 2">
          <a:extLst>
            <a:ext uri="{FF2B5EF4-FFF2-40B4-BE49-F238E27FC236}">
              <a16:creationId xmlns:a16="http://schemas.microsoft.com/office/drawing/2014/main" id="{E1472A33-DCE5-4407-A3BD-E813800D9F48}"/>
            </a:ext>
          </a:extLst>
        </xdr:cNvPr>
        <xdr:cNvSpPr/>
      </xdr:nvSpPr>
      <xdr:spPr>
        <a:xfrm>
          <a:off x="50800" y="1003300"/>
          <a:ext cx="253245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C8B141-F006-4686-9E63-933B2A81AAA4}" type="TxLink">
            <a:rPr lang="en-US" sz="1100" b="0" i="0" u="none" strike="noStrike">
              <a:solidFill>
                <a:srgbClr val="000000"/>
              </a:solidFill>
              <a:latin typeface="Calibri"/>
              <a:ea typeface="Calibri"/>
              <a:cs typeface="Calibri"/>
            </a:rPr>
            <a:pPr algn="ctr"/>
            <a:t>195217.76</a:t>
          </a:fld>
          <a:endParaRPr lang="en-IN" sz="1100"/>
        </a:p>
      </xdr:txBody>
    </xdr:sp>
    <xdr:clientData/>
  </xdr:twoCellAnchor>
  <xdr:twoCellAnchor>
    <xdr:from>
      <xdr:col>3</xdr:col>
      <xdr:colOff>520700</xdr:colOff>
      <xdr:row>5</xdr:row>
      <xdr:rowOff>44450</xdr:rowOff>
    </xdr:from>
    <xdr:to>
      <xdr:col>7</xdr:col>
      <xdr:colOff>62300</xdr:colOff>
      <xdr:row>10</xdr:row>
      <xdr:rowOff>23700</xdr:rowOff>
    </xdr:to>
    <xdr:sp macro="" textlink="[1]Charts!$C$60">
      <xdr:nvSpPr>
        <xdr:cNvPr id="4" name="Rectangle: Rounded Corners 3">
          <a:extLst>
            <a:ext uri="{FF2B5EF4-FFF2-40B4-BE49-F238E27FC236}">
              <a16:creationId xmlns:a16="http://schemas.microsoft.com/office/drawing/2014/main" id="{7E55C292-881C-4BAF-92D4-7946D2AD97F5}"/>
            </a:ext>
          </a:extLst>
        </xdr:cNvPr>
        <xdr:cNvSpPr/>
      </xdr:nvSpPr>
      <xdr:spPr>
        <a:xfrm>
          <a:off x="2921000" y="965200"/>
          <a:ext cx="29325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A7DE14-3148-43B9-AEBE-B93A8F6007AC}" type="TxLink">
            <a:rPr lang="en-US" sz="1100" b="0" i="0" u="none" strike="noStrike">
              <a:solidFill>
                <a:srgbClr val="000000"/>
              </a:solidFill>
              <a:latin typeface="Calibri"/>
              <a:ea typeface="Calibri"/>
              <a:cs typeface="Calibri"/>
            </a:rPr>
            <a:pPr algn="ctr"/>
            <a:t>33787.57</a:t>
          </a:fld>
          <a:endParaRPr lang="en-US" sz="1100"/>
        </a:p>
      </xdr:txBody>
    </xdr:sp>
    <xdr:clientData/>
  </xdr:twoCellAnchor>
  <xdr:twoCellAnchor>
    <xdr:from>
      <xdr:col>11</xdr:col>
      <xdr:colOff>534600</xdr:colOff>
      <xdr:row>5</xdr:row>
      <xdr:rowOff>25400</xdr:rowOff>
    </xdr:from>
    <xdr:to>
      <xdr:col>15</xdr:col>
      <xdr:colOff>76200</xdr:colOff>
      <xdr:row>10</xdr:row>
      <xdr:rowOff>4650</xdr:rowOff>
    </xdr:to>
    <xdr:sp macro="" textlink="'[1]High value customer'!B2">
      <xdr:nvSpPr>
        <xdr:cNvPr id="5" name="Rectangle: Rounded Corners 4">
          <a:extLst>
            <a:ext uri="{FF2B5EF4-FFF2-40B4-BE49-F238E27FC236}">
              <a16:creationId xmlns:a16="http://schemas.microsoft.com/office/drawing/2014/main" id="{5CD00AC1-9064-478C-B4F3-DDE4B1B1EDF6}"/>
            </a:ext>
          </a:extLst>
        </xdr:cNvPr>
        <xdr:cNvSpPr/>
      </xdr:nvSpPr>
      <xdr:spPr>
        <a:xfrm>
          <a:off x="9253150" y="946150"/>
          <a:ext cx="198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         </a:t>
          </a:r>
          <a:fld id="{FF12CDA8-0D8A-4743-BA51-81BE5CE0D797}" type="TxLink">
            <a:rPr lang="en-US" sz="1100" b="0" i="0" u="none" strike="noStrike">
              <a:solidFill>
                <a:srgbClr val="000000"/>
              </a:solidFill>
              <a:latin typeface="Calibri"/>
              <a:ea typeface="Calibri"/>
              <a:cs typeface="Calibri"/>
            </a:rPr>
            <a:pPr algn="ctr"/>
            <a:t>James Wilson</a:t>
          </a:fld>
          <a:endParaRPr lang="en-IN" sz="1100"/>
        </a:p>
      </xdr:txBody>
    </xdr:sp>
    <xdr:clientData/>
  </xdr:twoCellAnchor>
  <xdr:twoCellAnchor>
    <xdr:from>
      <xdr:col>7</xdr:col>
      <xdr:colOff>533400</xdr:colOff>
      <xdr:row>5</xdr:row>
      <xdr:rowOff>39800</xdr:rowOff>
    </xdr:from>
    <xdr:to>
      <xdr:col>11</xdr:col>
      <xdr:colOff>75000</xdr:colOff>
      <xdr:row>10</xdr:row>
      <xdr:rowOff>19050</xdr:rowOff>
    </xdr:to>
    <xdr:sp macro="" textlink="[1]Dataset!M2">
      <xdr:nvSpPr>
        <xdr:cNvPr id="6" name="Rectangle: Rounded Corners 5">
          <a:extLst>
            <a:ext uri="{FF2B5EF4-FFF2-40B4-BE49-F238E27FC236}">
              <a16:creationId xmlns:a16="http://schemas.microsoft.com/office/drawing/2014/main" id="{28E4C719-6FA4-4B90-AA9B-8E82012879CD}"/>
            </a:ext>
          </a:extLst>
        </xdr:cNvPr>
        <xdr:cNvSpPr/>
      </xdr:nvSpPr>
      <xdr:spPr>
        <a:xfrm>
          <a:off x="6324600" y="960550"/>
          <a:ext cx="246895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490078-C00D-4740-B506-50781DBD93EE}" type="TxLink">
            <a:rPr lang="en-US" sz="1100" b="0" i="0" u="none" strike="noStrike">
              <a:solidFill>
                <a:srgbClr val="000000"/>
              </a:solidFill>
              <a:latin typeface="Calibri"/>
              <a:ea typeface="Calibri"/>
              <a:cs typeface="Calibri"/>
            </a:rPr>
            <a:pPr algn="ctr"/>
            <a:t>10%</a:t>
          </a:fld>
          <a:endParaRPr lang="en-IN" sz="1100"/>
        </a:p>
      </xdr:txBody>
    </xdr:sp>
    <xdr:clientData/>
  </xdr:twoCellAnchor>
  <xdr:oneCellAnchor>
    <xdr:from>
      <xdr:col>0</xdr:col>
      <xdr:colOff>571500</xdr:colOff>
      <xdr:row>4</xdr:row>
      <xdr:rowOff>38100</xdr:rowOff>
    </xdr:from>
    <xdr:ext cx="797013" cy="264560"/>
    <xdr:sp macro="" textlink="">
      <xdr:nvSpPr>
        <xdr:cNvPr id="7" name="TextBox 6">
          <a:extLst>
            <a:ext uri="{FF2B5EF4-FFF2-40B4-BE49-F238E27FC236}">
              <a16:creationId xmlns:a16="http://schemas.microsoft.com/office/drawing/2014/main" id="{047A1A69-7155-410F-9FB7-99780090D2E7}"/>
            </a:ext>
          </a:extLst>
        </xdr:cNvPr>
        <xdr:cNvSpPr txBox="1"/>
      </xdr:nvSpPr>
      <xdr:spPr>
        <a:xfrm>
          <a:off x="571500" y="774700"/>
          <a:ext cx="7970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Total Sales</a:t>
          </a:r>
          <a:endParaRPr lang="en-IN" sz="1100"/>
        </a:p>
      </xdr:txBody>
    </xdr:sp>
    <xdr:clientData/>
  </xdr:oneCellAnchor>
  <xdr:oneCellAnchor>
    <xdr:from>
      <xdr:col>5</xdr:col>
      <xdr:colOff>0</xdr:colOff>
      <xdr:row>4</xdr:row>
      <xdr:rowOff>0</xdr:rowOff>
    </xdr:from>
    <xdr:ext cx="825995" cy="264560"/>
    <xdr:sp macro="" textlink="">
      <xdr:nvSpPr>
        <xdr:cNvPr id="8" name="TextBox 7">
          <a:extLst>
            <a:ext uri="{FF2B5EF4-FFF2-40B4-BE49-F238E27FC236}">
              <a16:creationId xmlns:a16="http://schemas.microsoft.com/office/drawing/2014/main" id="{F0599029-7BA9-4313-852E-B852B1B93DEB}"/>
            </a:ext>
          </a:extLst>
        </xdr:cNvPr>
        <xdr:cNvSpPr txBox="1"/>
      </xdr:nvSpPr>
      <xdr:spPr>
        <a:xfrm>
          <a:off x="4095750" y="736600"/>
          <a:ext cx="8259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Total Profit</a:t>
          </a:r>
          <a:endParaRPr lang="en-IN" sz="1100"/>
        </a:p>
      </xdr:txBody>
    </xdr:sp>
    <xdr:clientData/>
  </xdr:oneCellAnchor>
  <xdr:oneCellAnchor>
    <xdr:from>
      <xdr:col>8</xdr:col>
      <xdr:colOff>323850</xdr:colOff>
      <xdr:row>3</xdr:row>
      <xdr:rowOff>165100</xdr:rowOff>
    </xdr:from>
    <xdr:ext cx="967765" cy="264560"/>
    <xdr:sp macro="" textlink="">
      <xdr:nvSpPr>
        <xdr:cNvPr id="9" name="TextBox 8">
          <a:extLst>
            <a:ext uri="{FF2B5EF4-FFF2-40B4-BE49-F238E27FC236}">
              <a16:creationId xmlns:a16="http://schemas.microsoft.com/office/drawing/2014/main" id="{38E1CC1E-16FA-4D22-AC17-1E9BF7CF0C54}"/>
            </a:ext>
          </a:extLst>
        </xdr:cNvPr>
        <xdr:cNvSpPr txBox="1"/>
      </xdr:nvSpPr>
      <xdr:spPr>
        <a:xfrm>
          <a:off x="6985000" y="717550"/>
          <a:ext cx="9677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Avg. Discount</a:t>
          </a:r>
          <a:endParaRPr lang="en-IN" sz="1100"/>
        </a:p>
      </xdr:txBody>
    </xdr:sp>
    <xdr:clientData/>
  </xdr:oneCellAnchor>
  <xdr:oneCellAnchor>
    <xdr:from>
      <xdr:col>12</xdr:col>
      <xdr:colOff>400050</xdr:colOff>
      <xdr:row>3</xdr:row>
      <xdr:rowOff>152400</xdr:rowOff>
    </xdr:from>
    <xdr:ext cx="991938" cy="264560"/>
    <xdr:sp macro="" textlink="">
      <xdr:nvSpPr>
        <xdr:cNvPr id="10" name="TextBox 9">
          <a:extLst>
            <a:ext uri="{FF2B5EF4-FFF2-40B4-BE49-F238E27FC236}">
              <a16:creationId xmlns:a16="http://schemas.microsoft.com/office/drawing/2014/main" id="{B1DA79ED-878C-4FC6-BED4-05E1331903C9}"/>
            </a:ext>
          </a:extLst>
        </xdr:cNvPr>
        <xdr:cNvSpPr txBox="1"/>
      </xdr:nvSpPr>
      <xdr:spPr>
        <a:xfrm>
          <a:off x="9728200" y="704850"/>
          <a:ext cx="9919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Top Customer</a:t>
          </a:r>
          <a:endParaRPr lang="en-IN" sz="1100"/>
        </a:p>
      </xdr:txBody>
    </xdr:sp>
    <xdr:clientData/>
  </xdr:oneCellAnchor>
  <xdr:oneCellAnchor>
    <xdr:from>
      <xdr:col>5</xdr:col>
      <xdr:colOff>488950</xdr:colOff>
      <xdr:row>7</xdr:row>
      <xdr:rowOff>82550</xdr:rowOff>
    </xdr:from>
    <xdr:ext cx="184731" cy="436786"/>
    <xdr:sp macro="" textlink="">
      <xdr:nvSpPr>
        <xdr:cNvPr id="16" name="TextBox 15">
          <a:extLst>
            <a:ext uri="{FF2B5EF4-FFF2-40B4-BE49-F238E27FC236}">
              <a16:creationId xmlns:a16="http://schemas.microsoft.com/office/drawing/2014/main" id="{E01FB7C3-A3CD-4CAC-AD4A-0C6F31B31D4F}"/>
            </a:ext>
          </a:extLst>
        </xdr:cNvPr>
        <xdr:cNvSpPr txBox="1"/>
      </xdr:nvSpPr>
      <xdr:spPr>
        <a:xfrm>
          <a:off x="4584700" y="137160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a:p>
          <a:endParaRPr lang="en-IN" sz="1100"/>
        </a:p>
      </xdr:txBody>
    </xdr:sp>
    <xdr:clientData/>
  </xdr:oneCellAnchor>
  <xdr:twoCellAnchor editAs="oneCell">
    <xdr:from>
      <xdr:col>8</xdr:col>
      <xdr:colOff>25400</xdr:colOff>
      <xdr:row>14</xdr:row>
      <xdr:rowOff>101601</xdr:rowOff>
    </xdr:from>
    <xdr:to>
      <xdr:col>9</xdr:col>
      <xdr:colOff>1016000</xdr:colOff>
      <xdr:row>24</xdr:row>
      <xdr:rowOff>50801</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375121C7-3B90-4306-A5FD-44CAF5741D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83598" y="2685903"/>
              <a:ext cx="1832344" cy="1795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13</xdr:row>
      <xdr:rowOff>107950</xdr:rowOff>
    </xdr:from>
    <xdr:to>
      <xdr:col>6</xdr:col>
      <xdr:colOff>679450</xdr:colOff>
      <xdr:row>28</xdr:row>
      <xdr:rowOff>38100</xdr:rowOff>
    </xdr:to>
    <xdr:graphicFrame macro="">
      <xdr:nvGraphicFramePr>
        <xdr:cNvPr id="18" name="Chart 17">
          <a:extLst>
            <a:ext uri="{FF2B5EF4-FFF2-40B4-BE49-F238E27FC236}">
              <a16:creationId xmlns:a16="http://schemas.microsoft.com/office/drawing/2014/main" id="{E787E086-B576-49F9-88CC-9A132044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463550</xdr:colOff>
      <xdr:row>12</xdr:row>
      <xdr:rowOff>19050</xdr:rowOff>
    </xdr:from>
    <xdr:to>
      <xdr:col>18</xdr:col>
      <xdr:colOff>6350</xdr:colOff>
      <xdr:row>26</xdr:row>
      <xdr:rowOff>133350</xdr:rowOff>
    </xdr:to>
    <xdr:graphicFrame macro="">
      <xdr:nvGraphicFramePr>
        <xdr:cNvPr id="19" name="Chart 18">
          <a:extLst>
            <a:ext uri="{FF2B5EF4-FFF2-40B4-BE49-F238E27FC236}">
              <a16:creationId xmlns:a16="http://schemas.microsoft.com/office/drawing/2014/main" id="{B710187A-EC93-4199-BD1C-533E2E95E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215900</xdr:colOff>
      <xdr:row>30</xdr:row>
      <xdr:rowOff>146050</xdr:rowOff>
    </xdr:from>
    <xdr:to>
      <xdr:col>6</xdr:col>
      <xdr:colOff>660400</xdr:colOff>
      <xdr:row>45</xdr:row>
      <xdr:rowOff>6350</xdr:rowOff>
    </xdr:to>
    <xdr:graphicFrame macro="">
      <xdr:nvGraphicFramePr>
        <xdr:cNvPr id="20" name="Chart 19">
          <a:extLst>
            <a:ext uri="{FF2B5EF4-FFF2-40B4-BE49-F238E27FC236}">
              <a16:creationId xmlns:a16="http://schemas.microsoft.com/office/drawing/2014/main" id="{477E0F3B-9798-49D7-9ACF-BDC59871E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33</xdr:row>
      <xdr:rowOff>0</xdr:rowOff>
    </xdr:from>
    <xdr:to>
      <xdr:col>11</xdr:col>
      <xdr:colOff>546100</xdr:colOff>
      <xdr:row>40</xdr:row>
      <xdr:rowOff>82550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F6DC788-A5CE-48B8-96A5-F86BD0CC875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258198" y="6091570"/>
              <a:ext cx="3337146" cy="13747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2</xdr:col>
      <xdr:colOff>88604</xdr:colOff>
      <xdr:row>13</xdr:row>
      <xdr:rowOff>51685</xdr:rowOff>
    </xdr:from>
    <xdr:ext cx="1839221" cy="311496"/>
    <xdr:sp macro="" textlink="">
      <xdr:nvSpPr>
        <xdr:cNvPr id="22" name="TextBox 21">
          <a:extLst>
            <a:ext uri="{FF2B5EF4-FFF2-40B4-BE49-F238E27FC236}">
              <a16:creationId xmlns:a16="http://schemas.microsoft.com/office/drawing/2014/main" id="{9727BDFE-33B7-7D8D-0007-00BB3C719EA9}"/>
            </a:ext>
          </a:extLst>
        </xdr:cNvPr>
        <xdr:cNvSpPr txBox="1"/>
      </xdr:nvSpPr>
      <xdr:spPr>
        <a:xfrm>
          <a:off x="2133895" y="2451394"/>
          <a:ext cx="183922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PRODUCT</a:t>
          </a:r>
          <a:r>
            <a:rPr lang="en-IN" sz="1400" b="1" baseline="0"/>
            <a:t> TOTAL SALE</a:t>
          </a:r>
          <a:endParaRPr lang="en-IN" sz="1400" b="1"/>
        </a:p>
      </xdr:txBody>
    </xdr:sp>
    <xdr:clientData/>
  </xdr:oneCellAnchor>
  <xdr:oneCellAnchor>
    <xdr:from>
      <xdr:col>2</xdr:col>
      <xdr:colOff>103372</xdr:colOff>
      <xdr:row>29</xdr:row>
      <xdr:rowOff>177209</xdr:rowOff>
    </xdr:from>
    <xdr:ext cx="1955343" cy="311496"/>
    <xdr:sp macro="" textlink="">
      <xdr:nvSpPr>
        <xdr:cNvPr id="23" name="TextBox 22">
          <a:extLst>
            <a:ext uri="{FF2B5EF4-FFF2-40B4-BE49-F238E27FC236}">
              <a16:creationId xmlns:a16="http://schemas.microsoft.com/office/drawing/2014/main" id="{20994784-7497-9044-6073-659FFD3A9A69}"/>
            </a:ext>
          </a:extLst>
        </xdr:cNvPr>
        <xdr:cNvSpPr txBox="1"/>
      </xdr:nvSpPr>
      <xdr:spPr>
        <a:xfrm>
          <a:off x="2148663" y="5530407"/>
          <a:ext cx="19553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YEARLY</a:t>
          </a:r>
          <a:r>
            <a:rPr lang="en-IN" sz="1400" b="1" baseline="0"/>
            <a:t> / MONTLY SALE</a:t>
          </a:r>
          <a:endParaRPr lang="en-IN" sz="14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177800</xdr:rowOff>
    </xdr:from>
    <xdr:to>
      <xdr:col>6</xdr:col>
      <xdr:colOff>254000</xdr:colOff>
      <xdr:row>26</xdr:row>
      <xdr:rowOff>158750</xdr:rowOff>
    </xdr:to>
    <xdr:graphicFrame macro="">
      <xdr:nvGraphicFramePr>
        <xdr:cNvPr id="2" name="Chart 1">
          <a:extLst>
            <a:ext uri="{FF2B5EF4-FFF2-40B4-BE49-F238E27FC236}">
              <a16:creationId xmlns:a16="http://schemas.microsoft.com/office/drawing/2014/main" id="{3251B26A-7BCF-38CF-3770-9AF8E3832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387350</xdr:colOff>
      <xdr:row>1</xdr:row>
      <xdr:rowOff>63500</xdr:rowOff>
    </xdr:from>
    <xdr:to>
      <xdr:col>10</xdr:col>
      <xdr:colOff>387350</xdr:colOff>
      <xdr:row>15</xdr:row>
      <xdr:rowOff>9525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147F8AB-9A6A-C4AD-6226-EBDBA83CF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023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330200</xdr:colOff>
      <xdr:row>30</xdr:row>
      <xdr:rowOff>177800</xdr:rowOff>
    </xdr:from>
    <xdr:to>
      <xdr:col>9</xdr:col>
      <xdr:colOff>95250</xdr:colOff>
      <xdr:row>45</xdr:row>
      <xdr:rowOff>158750</xdr:rowOff>
    </xdr:to>
    <xdr:graphicFrame macro="">
      <xdr:nvGraphicFramePr>
        <xdr:cNvPr id="4" name="Chart 3">
          <a:extLst>
            <a:ext uri="{FF2B5EF4-FFF2-40B4-BE49-F238E27FC236}">
              <a16:creationId xmlns:a16="http://schemas.microsoft.com/office/drawing/2014/main" id="{24FDCBBA-00E7-4A5B-9B26-BB3CC84BD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434975</xdr:colOff>
      <xdr:row>51</xdr:row>
      <xdr:rowOff>31750</xdr:rowOff>
    </xdr:from>
    <xdr:to>
      <xdr:col>10</xdr:col>
      <xdr:colOff>142875</xdr:colOff>
      <xdr:row>66</xdr:row>
      <xdr:rowOff>12700</xdr:rowOff>
    </xdr:to>
    <xdr:graphicFrame macro="">
      <xdr:nvGraphicFramePr>
        <xdr:cNvPr id="7" name="Chart 6">
          <a:extLst>
            <a:ext uri="{FF2B5EF4-FFF2-40B4-BE49-F238E27FC236}">
              <a16:creationId xmlns:a16="http://schemas.microsoft.com/office/drawing/2014/main" id="{FBA1D785-04FF-4A7C-1285-AA19C0F8F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52</xdr:row>
      <xdr:rowOff>0</xdr:rowOff>
    </xdr:from>
    <xdr:to>
      <xdr:col>16</xdr:col>
      <xdr:colOff>285750</xdr:colOff>
      <xdr:row>59</xdr:row>
      <xdr:rowOff>82550</xdr:rowOff>
    </xdr:to>
    <mc:AlternateContent xmlns:mc="http://schemas.openxmlformats.org/markup-compatibility/2006" xmlns:tsle="http://schemas.microsoft.com/office/drawing/2012/timeslicer">
      <mc:Choice Requires="tsle">
        <xdr:graphicFrame macro="">
          <xdr:nvGraphicFramePr>
            <xdr:cNvPr id="5" name="Order_Date 1">
              <a:extLst>
                <a:ext uri="{FF2B5EF4-FFF2-40B4-BE49-F238E27FC236}">
                  <a16:creationId xmlns:a16="http://schemas.microsoft.com/office/drawing/2014/main" id="{7E476A08-12B5-479C-9DC7-061282D129D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677150" y="97218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ownloads\PR.%202%20Analyzer.xlsx" TargetMode="External"/><Relationship Id="rId1" Type="http://schemas.openxmlformats.org/officeDocument/2006/relationships/externalLinkPath" Target="PR.%202%20Analyz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
      <sheetName val="Project Instructions"/>
      <sheetName val="Scenario Summary"/>
      <sheetName val="Dataset"/>
      <sheetName val="High value customer"/>
    </sheetNames>
    <sheetDataSet>
      <sheetData sheetId="0"/>
      <sheetData sheetId="1"/>
      <sheetData sheetId="2"/>
      <sheetData sheetId="3"/>
      <sheetData sheetId="4"/>
    </sheetDataSet>
  </externalBook>
</externalLink>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46031412037" createdVersion="8" refreshedVersion="8" minRefreshableVersion="3" recordCount="200" xr:uid="{7E7078A1-A7F2-4CE8-8037-B46CC673D64C}">
  <cacheSource type="worksheet">
    <worksheetSource ref="A1:K201" sheet="Dataset"/>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Growth" numFmtId="165">
      <sharedItems containsSemiMixedTypes="0" containsString="0" containsNumber="1" minValue="-1" maxValue="3.6941317550578319"/>
    </cacheField>
    <cacheField name="Time" numFmtId="166">
      <sharedItems containsSemiMixedTypes="0" containsNonDate="0" containsDate="1" containsString="0" minDate="2026-04-28T11:01:47" maxDate="2026-04-28T11:01:47"/>
    </cacheField>
  </cacheFields>
  <extLst>
    <ext xmlns:x14="http://schemas.microsoft.com/office/spreadsheetml/2009/9/main" uri="{725AE2AE-9491-48be-B2B4-4EB974FC3084}">
      <x14:pivotCacheDefinition pivotCacheId="12844484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523294212966" createdVersion="8" refreshedVersion="8" minRefreshableVersion="3" recordCount="200" xr:uid="{8EE7C473-1981-4CE9-B146-74ADF3A253EF}">
  <cacheSource type="worksheet">
    <worksheetSource ref="A1:L201" sheet="Dataset"/>
  </cacheSource>
  <cacheFields count="14">
    <cacheField name="Customer_ID" numFmtId="0">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ount="2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n v="210.95"/>
        <n v="445.59"/>
        <n v="202.82"/>
        <n v="231.32"/>
        <n v="450.29"/>
        <n v="307.72000000000003"/>
        <n v="367.59"/>
        <n v="769.46"/>
        <n v="327.92"/>
        <n v="553.29999999999995"/>
        <n v="352.86"/>
        <n v="313.91000000000003"/>
        <n v="355.1"/>
        <n v="192.76"/>
        <n v="264.44"/>
        <n v="172.21"/>
        <n v="474.66"/>
        <n v="433.58"/>
        <n v="343.6"/>
        <n v="318.3"/>
        <n v="358.41"/>
        <n v="581.5"/>
        <n v="410.9"/>
        <n v="179.51"/>
        <n v="511.14"/>
        <n v="150.18"/>
        <n v="352.65"/>
        <n v="472.62"/>
        <n v="195.33"/>
        <n v="64.63"/>
        <n v="461.12"/>
        <n v="437.11"/>
        <n v="268.97000000000003"/>
        <n v="265.26"/>
        <n v="178.91"/>
        <n v="356.5"/>
        <n v="229.65"/>
        <n v="121.54"/>
        <n v="268"/>
        <n v="426.16"/>
        <n v="316.32"/>
        <n v="492.5"/>
        <n v="232.33"/>
        <n v="165.97"/>
        <n v="675.5"/>
        <n v="134.66"/>
        <n v="487.36"/>
        <n v="314.74"/>
        <n v="111.39"/>
        <n v="318.47000000000003"/>
        <n v="301.75"/>
        <n v="413.36"/>
        <n v="286.68"/>
        <n v="556.30999999999995"/>
        <n v="332.19"/>
        <n v="336.24"/>
        <n v="180.39"/>
        <n v="484.35"/>
        <n v="562.82000000000005"/>
        <n v="447.34"/>
        <n v="649.04999999999995"/>
        <n v="205"/>
        <n v="263.32"/>
        <n v="443.99"/>
        <n v="395.31"/>
        <n v="335.04"/>
        <n v="333.85"/>
        <n v="531.05999999999995"/>
        <n v="232.19"/>
        <n v="223.04"/>
        <n v="422.92"/>
        <n v="257.45"/>
        <n v="380.75"/>
        <n v="225.37"/>
        <n v="582.55999999999995"/>
        <n v="344.91"/>
        <n v="330.79"/>
        <n v="460"/>
        <n v="439.88"/>
        <n v="255.79"/>
        <n v="159.74"/>
        <n v="404.39"/>
        <n v="187.57"/>
        <n v="410.87"/>
        <n v="275.77999999999997"/>
        <n v="746.74"/>
        <n v="310.24"/>
        <n v="341.12"/>
        <n v="91.71"/>
        <n v="331.59"/>
        <n v="381.07"/>
        <n v="255.24"/>
        <n v="692.05"/>
        <n v="344.41"/>
        <n v="397.06"/>
        <n v="586.14"/>
        <n v="333.36"/>
        <n v="245.45"/>
        <n v="379.09"/>
        <n v="440.95"/>
      </sharedItems>
    </cacheField>
    <cacheField name="Growth" numFmtId="165">
      <sharedItems containsSemiMixedTypes="0" containsString="0" containsNumber="1" minValue="-1" maxValue="3.6941317550578319"/>
    </cacheField>
    <cacheField name="Time" numFmtId="166">
      <sharedItems containsSemiMixedTypes="0" containsNonDate="0" containsDate="1" containsString="0" minDate="2026-04-28T12:23:37" maxDate="2026-04-28T12:23:37"/>
    </cacheField>
    <cacheField name="Sep. Date" numFmtId="0">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222235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n v="6.2919244467179544E-2"/>
    <d v="2026-04-28T11:01:47"/>
  </r>
  <r>
    <s v="CUST012"/>
    <s v="Robert Anderson"/>
    <x v="0"/>
    <x v="1"/>
    <n v="1101.28"/>
    <n v="3"/>
    <n v="0.2"/>
    <d v="2024-04-11T00:00:00"/>
    <n v="440.51"/>
    <n v="-0.35226282144413767"/>
    <d v="2026-04-28T11:01:47"/>
  </r>
  <r>
    <s v="CUST017"/>
    <s v="James Taylor"/>
    <x v="1"/>
    <x v="0"/>
    <n v="713.34"/>
    <n v="17"/>
    <n v="0"/>
    <d v="2024-04-14T00:00:00"/>
    <n v="285.33999999999997"/>
    <n v="6.6714329772618833E-2"/>
    <d v="2026-04-28T11:01:47"/>
  </r>
  <r>
    <s v="CUST005"/>
    <s v="Robert Anderson"/>
    <x v="2"/>
    <x v="2"/>
    <n v="760.93"/>
    <n v="4"/>
    <n v="0.15"/>
    <d v="2024-04-14T00:00:00"/>
    <n v="161.69999999999999"/>
    <n v="0.1131115871367932"/>
    <d v="2026-04-28T11:01:47"/>
  </r>
  <r>
    <s v="CUST030"/>
    <s v="James Wilson"/>
    <x v="3"/>
    <x v="0"/>
    <n v="847"/>
    <n v="12"/>
    <n v="0.2"/>
    <d v="2024-04-15T00:00:00"/>
    <n v="271.04000000000002"/>
    <n v="0.14007083825265643"/>
    <d v="2026-04-28T11:01:47"/>
  </r>
  <r>
    <s v="CUST007"/>
    <s v="Michael Anderson"/>
    <x v="3"/>
    <x v="3"/>
    <n v="965.64"/>
    <n v="8"/>
    <n v="0.1"/>
    <d v="2024-04-16T00:00:00"/>
    <n v="304.18"/>
    <n v="0.36441116772296095"/>
    <d v="2026-04-28T11:01:47"/>
  </r>
  <r>
    <s v="CUST001"/>
    <s v="Linda Wilson"/>
    <x v="0"/>
    <x v="2"/>
    <n v="1317.53"/>
    <n v="12"/>
    <n v="0.05"/>
    <d v="2024-04-16T00:00:00"/>
    <n v="312.91000000000003"/>
    <n v="-0.18448156778213776"/>
    <d v="2026-04-28T11:01:47"/>
  </r>
  <r>
    <s v="CUST026"/>
    <s v="Mary Davis"/>
    <x v="1"/>
    <x v="3"/>
    <n v="1074.47"/>
    <n v="6"/>
    <n v="0.2"/>
    <d v="2024-04-19T00:00:00"/>
    <n v="300.85000000000002"/>
    <n v="-0.53322102990311504"/>
    <d v="2026-04-28T11:01:47"/>
  </r>
  <r>
    <s v="CUST009"/>
    <s v="Linda Jackson"/>
    <x v="4"/>
    <x v="0"/>
    <n v="501.54"/>
    <n v="11"/>
    <n v="0.05"/>
    <d v="2024-04-19T00:00:00"/>
    <n v="190.59"/>
    <n v="0.47009211628185171"/>
    <d v="2026-04-28T11:01:47"/>
  </r>
  <r>
    <s v="CUST010"/>
    <s v="David Thomas"/>
    <x v="4"/>
    <x v="1"/>
    <n v="737.31"/>
    <n v="2"/>
    <n v="0.05"/>
    <d v="2024-04-19T00:00:00"/>
    <n v="350.22"/>
    <n v="1.1331868549185553"/>
    <d v="2026-04-28T11:01:47"/>
  </r>
  <r>
    <s v="CUST014"/>
    <s v="Emma Davis"/>
    <x v="0"/>
    <x v="4"/>
    <n v="1572.82"/>
    <n v="6"/>
    <n v="0.05"/>
    <d v="2024-04-20T00:00:00"/>
    <n v="672.38"/>
    <n v="-0.14603705446268475"/>
    <d v="2026-04-28T11:01:47"/>
  </r>
  <r>
    <s v="CUST014"/>
    <s v="David Thomas"/>
    <x v="4"/>
    <x v="0"/>
    <n v="1343.13"/>
    <n v="14"/>
    <n v="0.16"/>
    <d v="2024-04-22T00:00:00"/>
    <n v="456.66"/>
    <n v="-0.11283345618071235"/>
    <d v="2026-04-28T11:01:47"/>
  </r>
  <r>
    <s v="CUST007"/>
    <s v="Michael Anderson"/>
    <x v="4"/>
    <x v="0"/>
    <n v="1191.58"/>
    <n v="14"/>
    <n v="0.05"/>
    <d v="2024-04-24T00:00:00"/>
    <n v="452.8"/>
    <n v="-0.30992463787576158"/>
    <d v="2026-04-28T11:01:47"/>
  </r>
  <r>
    <s v="CUST023"/>
    <s v="Robert Anderson"/>
    <x v="0"/>
    <x v="3"/>
    <n v="822.28"/>
    <n v="7"/>
    <n v="0.05"/>
    <d v="2024-04-24T00:00:00"/>
    <n v="273.41000000000003"/>
    <n v="-0.36558106727635359"/>
    <d v="2026-04-28T11:01:47"/>
  </r>
  <r>
    <s v="CUST029"/>
    <s v="David Smith"/>
    <x v="3"/>
    <x v="3"/>
    <n v="521.66999999999996"/>
    <n v="15"/>
    <n v="0.15"/>
    <d v="2024-04-27T00:00:00"/>
    <n v="155.19999999999999"/>
    <n v="1.8809975655107638"/>
    <d v="2026-04-28T11:01:47"/>
  </r>
  <r>
    <s v="CUST005"/>
    <s v="Sarah Anderson"/>
    <x v="2"/>
    <x v="2"/>
    <n v="1502.93"/>
    <n v="14"/>
    <n v="0.2"/>
    <d v="2024-04-28T00:00:00"/>
    <n v="300.58999999999997"/>
    <n v="-0.41608724291883187"/>
    <d v="2026-04-28T11:01:47"/>
  </r>
  <r>
    <s v="CUST008"/>
    <s v="Robert Anderson"/>
    <x v="2"/>
    <x v="0"/>
    <n v="877.58"/>
    <n v="10"/>
    <n v="0.15"/>
    <d v="2024-04-29T00:00:00"/>
    <n v="298.38"/>
    <n v="-0.27448209849814259"/>
    <d v="2026-04-28T11:01:47"/>
  </r>
  <r>
    <s v="CUST001"/>
    <s v="Lisa Thomas"/>
    <x v="0"/>
    <x v="0"/>
    <n v="636.70000000000005"/>
    <n v="4"/>
    <n v="0.2"/>
    <d v="2024-04-29T00:00:00"/>
    <n v="203.74"/>
    <n v="1.3655410711481075"/>
    <d v="2026-04-28T11:01:47"/>
  </r>
  <r>
    <s v="CUST006"/>
    <s v="Mary Jackson"/>
    <x v="0"/>
    <x v="0"/>
    <n v="1506.14"/>
    <n v="13"/>
    <n v="0.2"/>
    <d v="2024-04-30T00:00:00"/>
    <n v="481.96"/>
    <n v="-0.57173967891431077"/>
    <d v="2026-04-28T11:01:47"/>
  </r>
  <r>
    <s v="CUST026"/>
    <s v="Mary Davis"/>
    <x v="4"/>
    <x v="2"/>
    <n v="645.02"/>
    <n v="4"/>
    <n v="0"/>
    <d v="2024-05-02T00:00:00"/>
    <n v="161.26"/>
    <n v="0.47793866856841644"/>
    <d v="2026-04-28T11:01:47"/>
  </r>
  <r>
    <s v="CUST007"/>
    <s v="Lisa Davis"/>
    <x v="2"/>
    <x v="1"/>
    <n v="953.3"/>
    <n v="11"/>
    <n v="0"/>
    <d v="2024-05-03T00:00:00"/>
    <n v="476.65"/>
    <n v="-0.5924053288576524"/>
    <d v="2026-04-28T11:01:47"/>
  </r>
  <r>
    <s v="CUST022"/>
    <s v="Robert Anderson"/>
    <x v="3"/>
    <x v="2"/>
    <n v="388.56"/>
    <n v="14"/>
    <n v="0.15"/>
    <d v="2024-05-04T00:00:00"/>
    <n v="82.57"/>
    <n v="0.9126261066501955"/>
    <d v="2026-04-28T11:01:47"/>
  </r>
  <r>
    <s v="CUST019"/>
    <s v="Mary Davis"/>
    <x v="0"/>
    <x v="0"/>
    <n v="743.17"/>
    <n v="9"/>
    <n v="0"/>
    <d v="2024-05-04T00:00:00"/>
    <n v="297.27"/>
    <n v="-4.95176070078178E-2"/>
    <d v="2026-04-28T11:01:47"/>
  </r>
  <r>
    <s v="CUST023"/>
    <s v="Mary Davis"/>
    <x v="4"/>
    <x v="2"/>
    <n v="706.37"/>
    <n v="6"/>
    <n v="0"/>
    <d v="2024-05-04T00:00:00"/>
    <n v="176.59"/>
    <n v="0.3099508756034372"/>
    <d v="2026-04-28T11:01:47"/>
  </r>
  <r>
    <s v="CUST012"/>
    <s v="Mary Davis"/>
    <x v="4"/>
    <x v="4"/>
    <n v="925.31"/>
    <n v="8"/>
    <n v="0.1"/>
    <d v="2024-05-06T00:00:00"/>
    <n v="374.75"/>
    <n v="0.26781294917379034"/>
    <d v="2026-04-28T11:01:47"/>
  </r>
  <r>
    <s v="CUST010"/>
    <s v="Linda Brown"/>
    <x v="2"/>
    <x v="2"/>
    <n v="1173.1199999999999"/>
    <n v="18"/>
    <n v="0"/>
    <d v="2024-05-06T00:00:00"/>
    <n v="293.27999999999997"/>
    <n v="-0.42415098199672663"/>
    <d v="2026-04-28T11:01:47"/>
  </r>
  <r>
    <s v="CUST030"/>
    <s v="John Brown"/>
    <x v="3"/>
    <x v="3"/>
    <n v="675.54"/>
    <n v="17"/>
    <n v="0"/>
    <d v="2024-05-08T00:00:00"/>
    <n v="236.44"/>
    <n v="0.3901323385735857"/>
    <d v="2026-04-28T11:01:47"/>
  </r>
  <r>
    <s v="CUST007"/>
    <s v="Robert Anderson"/>
    <x v="4"/>
    <x v="0"/>
    <n v="939.09"/>
    <n v="2"/>
    <n v="0.05"/>
    <d v="2024-05-10T00:00:00"/>
    <n v="356.85"/>
    <n v="4.7120084336964504E-2"/>
    <d v="2026-04-28T11:01:47"/>
  </r>
  <r>
    <s v="CUST028"/>
    <s v="Linda Taylor"/>
    <x v="1"/>
    <x v="4"/>
    <n v="983.34"/>
    <n v="19"/>
    <n v="0.1"/>
    <d v="2024-05-14T00:00:00"/>
    <n v="398.25"/>
    <n v="-0.18521569345292574"/>
    <d v="2026-04-28T11:01:47"/>
  </r>
  <r>
    <s v="CUST028"/>
    <s v="James Wilson"/>
    <x v="2"/>
    <x v="2"/>
    <n v="801.21"/>
    <n v="3"/>
    <n v="0.2"/>
    <d v="2024-05-14T00:00:00"/>
    <n v="160.24"/>
    <n v="0.81064889354850789"/>
    <d v="2026-04-28T11:01:47"/>
  </r>
  <r>
    <s v="CUST025"/>
    <s v="David Brown"/>
    <x v="3"/>
    <x v="2"/>
    <n v="1450.71"/>
    <n v="5"/>
    <n v="0.1"/>
    <d v="2024-05-15T00:00:00"/>
    <n v="326.41000000000003"/>
    <n v="-0.29468329300825113"/>
    <d v="2026-04-28T11:01:47"/>
  </r>
  <r>
    <s v="CUST022"/>
    <s v="David Davis"/>
    <x v="4"/>
    <x v="0"/>
    <n v="1023.21"/>
    <n v="18"/>
    <n v="0.05"/>
    <d v="2024-05-16T00:00:00"/>
    <n v="388.82"/>
    <n v="-0.16564537094047166"/>
    <d v="2026-04-28T11:01:47"/>
  </r>
  <r>
    <s v="CUST001"/>
    <s v="Mary Jackson"/>
    <x v="0"/>
    <x v="3"/>
    <n v="853.72"/>
    <n v="5"/>
    <n v="0.15"/>
    <d v="2024-05-16T00:00:00"/>
    <n v="253.98"/>
    <n v="0.13373237126926857"/>
    <d v="2026-04-28T11:01:47"/>
  </r>
  <r>
    <s v="CUST021"/>
    <s v="Sarah Anderson"/>
    <x v="2"/>
    <x v="2"/>
    <n v="967.89"/>
    <n v="10"/>
    <n v="0.1"/>
    <d v="2024-05-17T00:00:00"/>
    <n v="217.78"/>
    <n v="0.24074016675448667"/>
    <d v="2026-04-28T11:01:47"/>
  </r>
  <r>
    <s v="CUST015"/>
    <s v="Linda Taylor"/>
    <x v="3"/>
    <x v="4"/>
    <n v="1200.9000000000001"/>
    <n v="14"/>
    <n v="0.05"/>
    <d v="2024-05-17T00:00:00"/>
    <n v="513.38"/>
    <n v="-0.60664501623782163"/>
    <d v="2026-04-28T11:01:47"/>
  </r>
  <r>
    <s v="CUST012"/>
    <s v="Michael Anderson"/>
    <x v="0"/>
    <x v="0"/>
    <n v="472.38"/>
    <n v="12"/>
    <n v="0.2"/>
    <d v="2024-05-17T00:00:00"/>
    <n v="151.16"/>
    <n v="0.78017697616325832"/>
    <d v="2026-04-28T11:01:47"/>
  </r>
  <r>
    <s v="CUST019"/>
    <s v="David Brown"/>
    <x v="1"/>
    <x v="4"/>
    <n v="840.92"/>
    <n v="9"/>
    <n v="0.05"/>
    <d v="2024-05-17T00:00:00"/>
    <n v="359.49"/>
    <n v="0.67680635494458452"/>
    <d v="2026-04-28T11:01:47"/>
  </r>
  <r>
    <s v="CUST028"/>
    <s v="Lisa Davis"/>
    <x v="4"/>
    <x v="3"/>
    <n v="1410.06"/>
    <n v="11"/>
    <n v="0.05"/>
    <d v="2024-05-22T00:00:00"/>
    <n v="468.84"/>
    <n v="-0.4517325503879267"/>
    <d v="2026-04-28T11:01:47"/>
  </r>
  <r>
    <s v="CUST008"/>
    <s v="Mary Wilson"/>
    <x v="4"/>
    <x v="3"/>
    <n v="773.09"/>
    <n v="13"/>
    <n v="0.15"/>
    <d v="2024-05-22T00:00:00"/>
    <n v="229.99"/>
    <n v="-0.24920772484445547"/>
    <d v="2026-04-28T11:01:47"/>
  </r>
  <r>
    <s v="CUST016"/>
    <s v="Emma Wilson"/>
    <x v="1"/>
    <x v="0"/>
    <n v="580.42999999999995"/>
    <n v="19"/>
    <n v="0.15"/>
    <d v="2024-05-23T00:00:00"/>
    <n v="197.35"/>
    <n v="0.98337439484520117"/>
    <d v="2026-04-28T11:01:47"/>
  </r>
  <r>
    <s v="CUST005"/>
    <s v="David Smith"/>
    <x v="2"/>
    <x v="0"/>
    <n v="1151.21"/>
    <n v="15"/>
    <n v="0.1"/>
    <d v="2024-06-02T00:00:00"/>
    <n v="414.44"/>
    <n v="-0.10878119543784368"/>
    <d v="2026-04-28T11:01:47"/>
  </r>
  <r>
    <s v="CUST028"/>
    <s v="James Wilson"/>
    <x v="4"/>
    <x v="4"/>
    <n v="1025.98"/>
    <n v="5"/>
    <n v="0.2"/>
    <d v="2024-06-04T00:00:00"/>
    <n v="369.35"/>
    <n v="-0.45766974015088019"/>
    <d v="2026-04-28T11:01:47"/>
  </r>
  <r>
    <s v="CUST023"/>
    <s v="David Davis"/>
    <x v="1"/>
    <x v="4"/>
    <n v="556.41999999999996"/>
    <n v="11"/>
    <n v="0.15"/>
    <d v="2024-06-04T00:00:00"/>
    <n v="212.83"/>
    <n v="0.51117860608892574"/>
    <d v="2026-04-28T11:01:47"/>
  </r>
  <r>
    <s v="CUST021"/>
    <s v="James Wilson"/>
    <x v="4"/>
    <x v="0"/>
    <n v="840.85"/>
    <n v="19"/>
    <n v="0.1"/>
    <d v="2024-06-05T00:00:00"/>
    <n v="302.70999999999998"/>
    <n v="0.45953499435095435"/>
    <d v="2026-04-28T11:01:47"/>
  </r>
  <r>
    <s v="CUST026"/>
    <s v="Emma Wilson"/>
    <x v="3"/>
    <x v="3"/>
    <n v="1227.25"/>
    <n v="12"/>
    <n v="0.15"/>
    <d v="2024-06-05T00:00:00"/>
    <n v="365.11"/>
    <n v="-0.3019352210226115"/>
    <d v="2026-04-28T11:01:47"/>
  </r>
  <r>
    <s v="CUST017"/>
    <s v="Linda Davis"/>
    <x v="4"/>
    <x v="2"/>
    <n v="856.7"/>
    <n v="2"/>
    <n v="0"/>
    <d v="2024-06-06T00:00:00"/>
    <n v="214.18"/>
    <n v="0.4303957044472978"/>
    <d v="2026-04-28T11:01:47"/>
  </r>
  <r>
    <s v="CUST025"/>
    <s v="David Davis"/>
    <x v="4"/>
    <x v="4"/>
    <n v="1225.42"/>
    <n v="8"/>
    <n v="0.15"/>
    <d v="2024-06-06T00:00:00"/>
    <n v="468.72"/>
    <n v="-0.18267206345579476"/>
    <d v="2026-04-28T11:01:47"/>
  </r>
  <r>
    <s v="CUST011"/>
    <s v="Mary Davis"/>
    <x v="3"/>
    <x v="4"/>
    <n v="1001.57"/>
    <n v="12"/>
    <n v="0"/>
    <d v="2024-06-07T00:00:00"/>
    <n v="450.71"/>
    <n v="0.18498956638078201"/>
    <d v="2026-04-28T11:01:47"/>
  </r>
  <r>
    <s v="CUST021"/>
    <s v="Michael Anderson"/>
    <x v="1"/>
    <x v="3"/>
    <n v="1186.8499999999999"/>
    <n v="19"/>
    <n v="0.2"/>
    <d v="2024-06-08T00:00:00"/>
    <n v="332.32"/>
    <n v="-0.34663184058642615"/>
    <d v="2026-04-28T11:01:47"/>
  </r>
  <r>
    <s v="CUST008"/>
    <s v="John Brown"/>
    <x v="2"/>
    <x v="2"/>
    <n v="775.45"/>
    <n v="6"/>
    <n v="0.1"/>
    <d v="2024-06-14T00:00:00"/>
    <n v="174.48"/>
    <n v="0.3172609452575923"/>
    <d v="2026-04-28T11:01:47"/>
  </r>
  <r>
    <s v="CUST007"/>
    <s v="Linda Jackson"/>
    <x v="2"/>
    <x v="2"/>
    <n v="1021.47"/>
    <n v="6"/>
    <n v="0.05"/>
    <d v="2024-06-18T00:00:00"/>
    <n v="242.6"/>
    <n v="0.20083800796890741"/>
    <d v="2026-04-28T11:01:47"/>
  </r>
  <r>
    <s v="CUST015"/>
    <s v="James Wilson"/>
    <x v="2"/>
    <x v="1"/>
    <n v="1226.6199999999999"/>
    <n v="7"/>
    <n v="0.1"/>
    <d v="2024-06-20T00:00:00"/>
    <n v="551.98"/>
    <n v="-0.11388204986059239"/>
    <d v="2026-04-28T11:01:47"/>
  </r>
  <r>
    <s v="CUST030"/>
    <s v="Sarah Davis"/>
    <x v="2"/>
    <x v="3"/>
    <n v="1086.93"/>
    <n v="2"/>
    <n v="0"/>
    <d v="2024-06-21T00:00:00"/>
    <n v="380.43"/>
    <n v="-0.13251083326433172"/>
    <d v="2026-04-28T11:01:47"/>
  </r>
  <r>
    <s v="CUST002"/>
    <s v="Lisa Davis"/>
    <x v="0"/>
    <x v="0"/>
    <n v="942.9"/>
    <n v="18"/>
    <n v="0.1"/>
    <d v="2024-06-23T00:00:00"/>
    <n v="339.44"/>
    <n v="-0.13161522961077529"/>
    <d v="2026-04-28T11:01:47"/>
  </r>
  <r>
    <s v="CUST009"/>
    <s v="Emma Davis"/>
    <x v="3"/>
    <x v="2"/>
    <n v="818.8"/>
    <n v="15"/>
    <n v="0.15"/>
    <d v="2024-06-25T00:00:00"/>
    <n v="173.99"/>
    <n v="0.12242305813385444"/>
    <d v="2026-04-28T11:01:47"/>
  </r>
  <r>
    <s v="CUST005"/>
    <s v="Robert Anderson"/>
    <x v="2"/>
    <x v="3"/>
    <n v="919.04"/>
    <n v="10"/>
    <n v="0.2"/>
    <d v="2024-06-25T00:00:00"/>
    <n v="257.33"/>
    <n v="5.8996344011142093E-2"/>
    <d v="2026-04-28T11:01:47"/>
  </r>
  <r>
    <s v="CUST030"/>
    <s v="Emma Taylor"/>
    <x v="4"/>
    <x v="0"/>
    <n v="973.26"/>
    <n v="11"/>
    <n v="0"/>
    <d v="2024-06-27T00:00:00"/>
    <n v="389.3"/>
    <n v="-0.23801450794237919"/>
    <d v="2026-04-28T11:01:47"/>
  </r>
  <r>
    <s v="CUST029"/>
    <s v="Sarah Davis"/>
    <x v="3"/>
    <x v="2"/>
    <n v="741.61"/>
    <n v="1"/>
    <n v="0.2"/>
    <d v="2024-06-28T00:00:00"/>
    <n v="148.32"/>
    <n v="0.68393090708054083"/>
    <d v="2026-04-28T11:01:47"/>
  </r>
  <r>
    <s v="CUST003"/>
    <s v="Emma Davis"/>
    <x v="3"/>
    <x v="0"/>
    <n v="1248.82"/>
    <n v="2"/>
    <n v="0.1"/>
    <d v="2024-06-30T00:00:00"/>
    <n v="449.58"/>
    <n v="8.9316314600983299E-2"/>
    <d v="2026-04-28T11:01:47"/>
  </r>
  <r>
    <s v="CUST012"/>
    <s v="Mary Wilson"/>
    <x v="0"/>
    <x v="1"/>
    <n v="1360.36"/>
    <n v="17"/>
    <n v="0"/>
    <d v="2024-06-30T00:00:00"/>
    <n v="680.18"/>
    <n v="1.6863183275015479E-2"/>
    <d v="2026-04-28T11:01:47"/>
  </r>
  <r>
    <s v="CUST021"/>
    <s v="Mary Davis"/>
    <x v="1"/>
    <x v="0"/>
    <n v="1383.3"/>
    <n v="8"/>
    <n v="0.1"/>
    <d v="2024-07-05T00:00:00"/>
    <n v="497.99"/>
    <n v="-0.64650473505385675"/>
    <d v="2026-04-28T11:01:47"/>
  </r>
  <r>
    <s v="CUST010"/>
    <s v="David Brown"/>
    <x v="4"/>
    <x v="4"/>
    <n v="488.99"/>
    <n v="9"/>
    <n v="0"/>
    <d v="2024-07-06T00:00:00"/>
    <n v="220.05"/>
    <n v="0.90946645125667192"/>
    <d v="2026-04-28T11:01:47"/>
  </r>
  <r>
    <s v="CUST026"/>
    <s v="Mary Davis"/>
    <x v="1"/>
    <x v="3"/>
    <n v="933.71"/>
    <n v="17"/>
    <n v="0.1"/>
    <d v="2024-07-08T00:00:00"/>
    <n v="294.12"/>
    <n v="7.6918957706354152E-2"/>
    <d v="2026-04-28T11:01:47"/>
  </r>
  <r>
    <s v="CUST003"/>
    <s v="James Davis"/>
    <x v="0"/>
    <x v="2"/>
    <n v="1005.53"/>
    <n v="17"/>
    <n v="0.2"/>
    <d v="2024-07-08T00:00:00"/>
    <n v="201.11"/>
    <n v="9.4049904030710119E-2"/>
    <d v="2026-04-28T11:01:47"/>
  </r>
  <r>
    <s v="CUST029"/>
    <s v="Emma Wilson"/>
    <x v="2"/>
    <x v="2"/>
    <n v="1100.0999999999999"/>
    <n v="5"/>
    <n v="0.05"/>
    <d v="2024-07-09T00:00:00"/>
    <n v="261.27"/>
    <n v="-5.9449140987182868E-2"/>
    <d v="2026-04-28T11:01:47"/>
  </r>
  <r>
    <s v="CUST003"/>
    <s v="James Wilson"/>
    <x v="3"/>
    <x v="3"/>
    <n v="1034.7"/>
    <n v="15"/>
    <n v="0.15"/>
    <d v="2024-07-14T00:00:00"/>
    <n v="307.82"/>
    <n v="-0.15295254663187396"/>
    <d v="2026-04-28T11:01:47"/>
  </r>
  <r>
    <s v="CUST002"/>
    <s v="Mary Davis"/>
    <x v="2"/>
    <x v="0"/>
    <n v="876.44"/>
    <n v="12"/>
    <n v="0.05"/>
    <d v="2024-07-15T00:00:00"/>
    <n v="333.05"/>
    <n v="0.56467071334033114"/>
    <d v="2026-04-28T11:01:47"/>
  </r>
  <r>
    <s v="CUST020"/>
    <s v="David Brown"/>
    <x v="0"/>
    <x v="3"/>
    <n v="1371.34"/>
    <n v="5"/>
    <n v="0.05"/>
    <d v="2024-07-15T00:00:00"/>
    <n v="455.97"/>
    <n v="-0.25601236746539879"/>
    <d v="2026-04-28T11:01:47"/>
  </r>
  <r>
    <s v="CUST021"/>
    <s v="Mary Jackson"/>
    <x v="3"/>
    <x v="2"/>
    <n v="1020.26"/>
    <n v="11"/>
    <n v="0.05"/>
    <d v="2024-07-21T00:00:00"/>
    <n v="242.31"/>
    <n v="-0.21117166212534064"/>
    <d v="2026-04-28T11:01:47"/>
  </r>
  <r>
    <s v="CUST008"/>
    <s v="James Davis"/>
    <x v="4"/>
    <x v="4"/>
    <n v="804.81"/>
    <n v="1"/>
    <n v="0.05"/>
    <d v="2024-07-29T00:00:00"/>
    <n v="344.06"/>
    <n v="-0.24372212074899666"/>
    <d v="2026-04-28T11:01:47"/>
  </r>
  <r>
    <s v="CUST030"/>
    <s v="David Brown"/>
    <x v="4"/>
    <x v="2"/>
    <n v="608.66"/>
    <n v="1"/>
    <n v="0.05"/>
    <d v="2024-07-30T00:00:00"/>
    <n v="144.56"/>
    <n v="0.61206584957118937"/>
    <d v="2026-04-28T11:01:47"/>
  </r>
  <r>
    <s v="CUST020"/>
    <s v="Linda Moore"/>
    <x v="2"/>
    <x v="4"/>
    <n v="981.2"/>
    <n v="19"/>
    <n v="0"/>
    <d v="2024-07-31T00:00:00"/>
    <n v="441.54"/>
    <n v="-0.44988789237668164"/>
    <d v="2026-04-28T11:01:47"/>
  </r>
  <r>
    <s v="CUST024"/>
    <s v="David Brown"/>
    <x v="1"/>
    <x v="2"/>
    <n v="539.77"/>
    <n v="10"/>
    <n v="0.15"/>
    <d v="2024-08-05T00:00:00"/>
    <n v="114.7"/>
    <n v="0.4903570039090725"/>
    <d v="2026-04-28T11:01:47"/>
  </r>
  <r>
    <s v="CUST012"/>
    <s v="David Anderson"/>
    <x v="2"/>
    <x v="0"/>
    <n v="804.45"/>
    <n v="5"/>
    <n v="0.2"/>
    <d v="2024-08-05T00:00:00"/>
    <n v="257.42"/>
    <n v="0.8976940766983651"/>
    <d v="2026-04-28T11:01:47"/>
  </r>
  <r>
    <s v="CUST024"/>
    <s v="Emma Davis"/>
    <x v="0"/>
    <x v="2"/>
    <n v="1526.6"/>
    <n v="13"/>
    <n v="0.2"/>
    <d v="2024-08-08T00:00:00"/>
    <n v="305.32"/>
    <n v="-0.20394340364208041"/>
    <d v="2026-04-28T11:01:47"/>
  </r>
  <r>
    <s v="CUST012"/>
    <s v="Linda Wilson"/>
    <x v="0"/>
    <x v="2"/>
    <n v="1215.26"/>
    <n v="5"/>
    <n v="0.15"/>
    <d v="2024-08-09T00:00:00"/>
    <n v="258.24"/>
    <n v="3.79178118262758E-2"/>
    <d v="2026-04-28T11:01:47"/>
  </r>
  <r>
    <s v="CUST005"/>
    <s v="Linda Taylor"/>
    <x v="4"/>
    <x v="3"/>
    <n v="1261.3399999999999"/>
    <n v="3"/>
    <n v="0"/>
    <d v="2024-08-15T00:00:00"/>
    <n v="441.47"/>
    <n v="-0.589270141278323"/>
    <d v="2026-04-28T11:01:47"/>
  </r>
  <r>
    <s v="CUST004"/>
    <s v="Lisa Thomas"/>
    <x v="3"/>
    <x v="3"/>
    <n v="518.07000000000005"/>
    <n v="7"/>
    <n v="0.05"/>
    <d v="2024-08-18T00:00:00"/>
    <n v="172.26"/>
    <n v="1.1451541297508054"/>
    <d v="2026-04-28T11:01:47"/>
  </r>
  <r>
    <s v="CUST026"/>
    <s v="Linda Wilson"/>
    <x v="0"/>
    <x v="4"/>
    <n v="1111.3399999999999"/>
    <n v="1"/>
    <n v="0"/>
    <d v="2024-08-19T00:00:00"/>
    <n v="500.1"/>
    <n v="0.16208361077618022"/>
    <d v="2026-04-28T11:01:47"/>
  </r>
  <r>
    <s v="CUST030"/>
    <s v="Mary Davis"/>
    <x v="1"/>
    <x v="1"/>
    <n v="1291.47"/>
    <n v="18"/>
    <n v="0.1"/>
    <d v="2024-08-22T00:00:00"/>
    <n v="581.16"/>
    <n v="-0.4736927687054287"/>
    <d v="2026-04-28T11:01:47"/>
  </r>
  <r>
    <s v="CUST007"/>
    <s v="David Brown"/>
    <x v="3"/>
    <x v="0"/>
    <n v="679.71"/>
    <n v="19"/>
    <n v="0"/>
    <d v="2024-08-30T00:00:00"/>
    <n v="271.88"/>
    <n v="0.68261464448073439"/>
    <d v="2026-04-28T11:01:47"/>
  </r>
  <r>
    <s v="CUST020"/>
    <s v="Linda Jackson"/>
    <x v="1"/>
    <x v="3"/>
    <n v="1143.69"/>
    <n v="17"/>
    <n v="0"/>
    <d v="2024-08-30T00:00:00"/>
    <n v="400.29"/>
    <n v="-0.30918343257351205"/>
    <d v="2026-04-28T11:01:47"/>
  </r>
  <r>
    <s v="CUST028"/>
    <s v="Linda Brown"/>
    <x v="4"/>
    <x v="2"/>
    <n v="790.08"/>
    <n v="7"/>
    <n v="0.1"/>
    <d v="2024-09-01T00:00:00"/>
    <n v="177.77"/>
    <n v="0.35515390846496558"/>
    <d v="2026-04-28T11:01:47"/>
  </r>
  <r>
    <s v="CUST005"/>
    <s v="Lisa Davis"/>
    <x v="4"/>
    <x v="0"/>
    <n v="1070.68"/>
    <n v="7"/>
    <n v="0.05"/>
    <d v="2024-09-01T00:00:00"/>
    <n v="406.86"/>
    <n v="9.1726753091493279E-2"/>
    <d v="2026-04-28T11:01:47"/>
  </r>
  <r>
    <s v="CUST015"/>
    <s v="David Thomas"/>
    <x v="0"/>
    <x v="1"/>
    <n v="1168.8900000000001"/>
    <n v="4"/>
    <n v="0.1"/>
    <d v="2024-09-09T00:00:00"/>
    <n v="526"/>
    <n v="0.14285347637502227"/>
    <d v="2026-04-28T11:01:47"/>
  </r>
  <r>
    <s v="CUST003"/>
    <s v="James Davis"/>
    <x v="2"/>
    <x v="2"/>
    <n v="1335.87"/>
    <n v="17"/>
    <n v="0"/>
    <d v="2024-09-09T00:00:00"/>
    <n v="333.97"/>
    <n v="-0.34596929341926974"/>
    <d v="2026-04-28T11:01:47"/>
  </r>
  <r>
    <s v="CUST023"/>
    <s v="David Brown"/>
    <x v="1"/>
    <x v="3"/>
    <n v="873.7"/>
    <n v="9"/>
    <n v="0"/>
    <d v="2024-09-11T00:00:00"/>
    <n v="305.8"/>
    <n v="0.65271832436763189"/>
    <d v="2026-04-28T11:01:47"/>
  </r>
  <r>
    <s v="CUST004"/>
    <s v="Sarah Davis"/>
    <x v="0"/>
    <x v="4"/>
    <n v="1443.98"/>
    <n v="19"/>
    <n v="0"/>
    <d v="2024-09-12T00:00:00"/>
    <n v="649.79"/>
    <n v="-0.200591420933808"/>
    <d v="2026-04-28T11:01:47"/>
  </r>
  <r>
    <s v="CUST023"/>
    <s v="James Wilson"/>
    <x v="1"/>
    <x v="4"/>
    <n v="1154.33"/>
    <n v="11"/>
    <n v="0.15"/>
    <d v="2024-09-14T00:00:00"/>
    <n v="441.53"/>
    <n v="9.5431982188802236E-2"/>
    <d v="2026-04-28T11:01:47"/>
  </r>
  <r>
    <s v="CUST022"/>
    <s v="Linda Brown"/>
    <x v="2"/>
    <x v="0"/>
    <n v="1264.49"/>
    <n v="16"/>
    <n v="0.05"/>
    <d v="2024-09-14T00:00:00"/>
    <n v="480.51"/>
    <n v="-0.12885827487761869"/>
    <d v="2026-04-28T11:01:47"/>
  </r>
  <r>
    <s v="CUST007"/>
    <s v="Emma Taylor"/>
    <x v="0"/>
    <x v="3"/>
    <n v="1101.55"/>
    <n v="4"/>
    <n v="0.1"/>
    <d v="2024-09-16T00:00:00"/>
    <n v="346.99"/>
    <n v="-0.33935817711406652"/>
    <d v="2026-04-28T11:01:47"/>
  </r>
  <r>
    <s v="CUST013"/>
    <s v="Robert Anderson"/>
    <x v="2"/>
    <x v="3"/>
    <n v="727.73"/>
    <n v="1"/>
    <n v="0.1"/>
    <d v="2024-09-17T00:00:00"/>
    <n v="229.23"/>
    <n v="0.20293240624957051"/>
    <d v="2026-04-28T11:01:47"/>
  </r>
  <r>
    <s v="CUST027"/>
    <s v="Emma Davis"/>
    <x v="1"/>
    <x v="4"/>
    <n v="875.41"/>
    <n v="13"/>
    <n v="0.15"/>
    <d v="2024-09-17T00:00:00"/>
    <n v="334.84"/>
    <n v="0.32388252361750502"/>
    <d v="2026-04-28T11:01:47"/>
  </r>
  <r>
    <s v="CUST003"/>
    <s v="James Wilson"/>
    <x v="0"/>
    <x v="2"/>
    <n v="1158.94"/>
    <n v="19"/>
    <n v="0.2"/>
    <d v="2024-09-18T00:00:00"/>
    <n v="231.79"/>
    <n v="-0.16622085699000819"/>
    <d v="2026-04-28T11:01:47"/>
  </r>
  <r>
    <s v="CUST018"/>
    <s v="Mary Jackson"/>
    <x v="2"/>
    <x v="0"/>
    <n v="966.3"/>
    <n v="2"/>
    <n v="0.15"/>
    <d v="2024-09-22T00:00:00"/>
    <n v="328.54"/>
    <n v="-5.0522612025250893E-2"/>
    <d v="2026-04-28T11:01:47"/>
  </r>
  <r>
    <s v="CUST020"/>
    <s v="James Taylor"/>
    <x v="2"/>
    <x v="0"/>
    <n v="917.48"/>
    <n v="6"/>
    <n v="0"/>
    <d v="2024-09-23T00:00:00"/>
    <n v="366.99"/>
    <n v="0.27846928543401489"/>
    <d v="2026-04-28T11:01:47"/>
  </r>
  <r>
    <s v="CUST029"/>
    <s v="Emma Wilson"/>
    <x v="0"/>
    <x v="3"/>
    <n v="1172.97"/>
    <n v="7"/>
    <n v="0.15"/>
    <d v="2024-09-24T00:00:00"/>
    <n v="348.96"/>
    <n v="2.8005831351185374E-2"/>
    <d v="2026-04-28T11:01:47"/>
  </r>
  <r>
    <s v="CUST021"/>
    <s v="James Wilson"/>
    <x v="3"/>
    <x v="1"/>
    <n v="1205.82"/>
    <n v="11"/>
    <n v="0.1"/>
    <d v="2024-09-24T00:00:00"/>
    <n v="542.62"/>
    <n v="-0.31421771076943489"/>
    <d v="2026-04-28T11:01:47"/>
  </r>
  <r>
    <s v="CUST017"/>
    <s v="Sarah Davis"/>
    <x v="0"/>
    <x v="4"/>
    <n v="826.93"/>
    <n v="10"/>
    <n v="0.2"/>
    <d v="2024-09-29T00:00:00"/>
    <n v="297.69"/>
    <n v="9.1011331067926068E-2"/>
    <d v="2026-04-28T11:01:47"/>
  </r>
  <r>
    <s v="CUST003"/>
    <s v="James Wilson"/>
    <x v="4"/>
    <x v="1"/>
    <n v="902.19"/>
    <n v="12"/>
    <n v="0"/>
    <d v="2024-09-29T00:00:00"/>
    <n v="451.1"/>
    <n v="-0.35050266573559896"/>
    <d v="2026-04-28T11:01:47"/>
  </r>
  <r>
    <s v="CUST027"/>
    <s v="Emma Davis"/>
    <x v="3"/>
    <x v="0"/>
    <n v="585.97"/>
    <n v="17"/>
    <n v="0.1"/>
    <d v="2024-09-30T00:00:00"/>
    <n v="210.95"/>
    <n v="0.6898305373995256"/>
    <d v="2026-04-28T11:01:47"/>
  </r>
  <r>
    <s v="CUST016"/>
    <s v="Michael Anderson"/>
    <x v="3"/>
    <x v="1"/>
    <n v="990.19"/>
    <n v="8"/>
    <n v="0.1"/>
    <d v="2024-09-30T00:00:00"/>
    <n v="445.59"/>
    <n v="2.413678182974982E-2"/>
    <d v="2026-04-28T11:01:47"/>
  </r>
  <r>
    <s v="CUST008"/>
    <s v="David Davis"/>
    <x v="4"/>
    <x v="2"/>
    <n v="1014.09"/>
    <n v="13"/>
    <n v="0.2"/>
    <d v="2024-10-02T00:00:00"/>
    <n v="202.82"/>
    <n v="-8.7566192349791502E-2"/>
    <d v="2026-04-28T11:01:47"/>
  </r>
  <r>
    <s v="CUST012"/>
    <s v="Lisa Davis"/>
    <x v="3"/>
    <x v="2"/>
    <n v="925.29"/>
    <n v="17"/>
    <n v="0"/>
    <d v="2024-10-05T00:00:00"/>
    <n v="231.32"/>
    <n v="0.39041813917798746"/>
    <d v="2026-04-28T11:01:47"/>
  </r>
  <r>
    <s v="CUST025"/>
    <s v="Mary Jackson"/>
    <x v="1"/>
    <x v="3"/>
    <n v="1286.54"/>
    <n v="8"/>
    <n v="0"/>
    <d v="2024-10-10T00:00:00"/>
    <n v="450.29"/>
    <n v="-0.25255336017535401"/>
    <d v="2026-04-28T11:01:47"/>
  </r>
  <r>
    <s v="CUST014"/>
    <s v="Sarah Davis"/>
    <x v="2"/>
    <x v="0"/>
    <n v="961.62"/>
    <n v="8"/>
    <n v="0.2"/>
    <d v="2024-10-12T00:00:00"/>
    <n v="307.72000000000003"/>
    <n v="0.12429026018593634"/>
    <d v="2026-04-28T11:01:47"/>
  </r>
  <r>
    <s v="CUST008"/>
    <s v="James Wilson"/>
    <x v="1"/>
    <x v="0"/>
    <n v="1081.1400000000001"/>
    <n v="19"/>
    <n v="0.15"/>
    <d v="2024-10-12T00:00:00"/>
    <n v="367.59"/>
    <n v="0.77928852877518162"/>
    <d v="2026-04-28T11:01:47"/>
  </r>
  <r>
    <s v="CUST015"/>
    <s v="James Wilson"/>
    <x v="0"/>
    <x v="1"/>
    <n v="1923.66"/>
    <n v="9"/>
    <n v="0.2"/>
    <d v="2024-10-15T00:00:00"/>
    <n v="769.46"/>
    <n v="-0.62118565650894653"/>
    <d v="2026-04-28T11:01:47"/>
  </r>
  <r>
    <s v="CUST025"/>
    <s v="Emma Taylor"/>
    <x v="4"/>
    <x v="1"/>
    <n v="728.71"/>
    <n v="14"/>
    <n v="0.1"/>
    <d v="2024-10-16T00:00:00"/>
    <n v="327.92"/>
    <n v="0.78656804490126397"/>
    <d v="2026-04-28T11:01:47"/>
  </r>
  <r>
    <s v="CUST019"/>
    <s v="Linda Jackson"/>
    <x v="4"/>
    <x v="1"/>
    <n v="1301.8900000000001"/>
    <n v="7"/>
    <n v="0.15"/>
    <d v="2024-10-16T00:00:00"/>
    <n v="553.29999999999995"/>
    <n v="-0.24710997088847761"/>
    <d v="2026-04-28T11:01:47"/>
  </r>
  <r>
    <s v="CUST024"/>
    <s v="Emma Taylor"/>
    <x v="1"/>
    <x v="0"/>
    <n v="980.18"/>
    <n v="16"/>
    <n v="0.1"/>
    <d v="2024-10-17T00:00:00"/>
    <n v="352.86"/>
    <n v="-0.28832459344202077"/>
    <d v="2026-04-28T11:01:47"/>
  </r>
  <r>
    <s v="CUST027"/>
    <s v="James Wilson"/>
    <x v="0"/>
    <x v="1"/>
    <n v="697.57"/>
    <n v="17"/>
    <n v="0.1"/>
    <d v="2024-10-19T00:00:00"/>
    <n v="313.91000000000003"/>
    <n v="0.71109709419843148"/>
    <d v="2026-04-28T11:01:47"/>
  </r>
  <r>
    <s v="CUST006"/>
    <s v="David Anderson"/>
    <x v="0"/>
    <x v="3"/>
    <n v="1193.6099999999999"/>
    <n v="1"/>
    <n v="0.15"/>
    <d v="2024-10-19T00:00:00"/>
    <n v="355.1"/>
    <n v="-0.35404361558633052"/>
    <d v="2026-04-28T11:01:47"/>
  </r>
  <r>
    <s v="CUST009"/>
    <s v="Emma Davis"/>
    <x v="2"/>
    <x v="2"/>
    <n v="771.02"/>
    <n v="1"/>
    <n v="0"/>
    <d v="2024-10-20T00:00:00"/>
    <n v="192.76"/>
    <n v="-0.1425773650488962"/>
    <d v="2026-04-28T11:01:47"/>
  </r>
  <r>
    <s v="CUST003"/>
    <s v="Linda Moore"/>
    <x v="3"/>
    <x v="1"/>
    <n v="661.09"/>
    <n v="1"/>
    <n v="0.2"/>
    <d v="2024-10-28T00:00:00"/>
    <n v="264.44"/>
    <n v="4.1961003796759912E-2"/>
    <d v="2026-04-28T11:01:47"/>
  </r>
  <r>
    <s v="CUST012"/>
    <s v="David Brown"/>
    <x v="0"/>
    <x v="2"/>
    <n v="688.83"/>
    <n v="15"/>
    <n v="0"/>
    <d v="2024-10-30T00:00:00"/>
    <n v="172.21"/>
    <n v="0.81336469085260488"/>
    <d v="2026-04-28T11:01:47"/>
  </r>
  <r>
    <s v="CUST013"/>
    <s v="Linda Wilson"/>
    <x v="4"/>
    <x v="0"/>
    <n v="1249.0999999999999"/>
    <n v="4"/>
    <n v="0.05"/>
    <d v="2024-11-01T00:00:00"/>
    <n v="474.66"/>
    <n v="-0.18803938835961884"/>
    <d v="2026-04-28T11:01:47"/>
  </r>
  <r>
    <s v="CUST008"/>
    <s v="James Wilson"/>
    <x v="1"/>
    <x v="4"/>
    <n v="1014.22"/>
    <n v="14"/>
    <n v="0.05"/>
    <d v="2024-11-03T00:00:00"/>
    <n v="433.58"/>
    <n v="-3.5889649188538841E-3"/>
    <d v="2026-04-28T11:01:47"/>
  </r>
  <r>
    <s v="CUST025"/>
    <s v="Lisa Davis"/>
    <x v="1"/>
    <x v="0"/>
    <n v="1010.58"/>
    <n v="2"/>
    <n v="0.15"/>
    <d v="2024-11-09T00:00:00"/>
    <n v="343.6"/>
    <n v="-5.2732094440816238E-2"/>
    <d v="2026-04-28T11:01:47"/>
  </r>
  <r>
    <s v="CUST026"/>
    <s v="Mary Wilson"/>
    <x v="3"/>
    <x v="3"/>
    <n v="957.29"/>
    <n v="4"/>
    <n v="0.05"/>
    <d v="2024-11-09T00:00:00"/>
    <n v="318.3"/>
    <n v="0.12601197129396538"/>
    <d v="2026-04-28T11:01:47"/>
  </r>
  <r>
    <s v="CUST001"/>
    <s v="Lisa Thomas"/>
    <x v="3"/>
    <x v="3"/>
    <n v="1077.92"/>
    <n v="3"/>
    <n v="0.05"/>
    <d v="2024-11-12T00:00:00"/>
    <n v="358.41"/>
    <n v="7.8939067834347551E-2"/>
    <d v="2026-04-28T11:01:47"/>
  </r>
  <r>
    <s v="CUST028"/>
    <s v="Linda Brown"/>
    <x v="2"/>
    <x v="1"/>
    <n v="1163.01"/>
    <n v="5"/>
    <n v="0"/>
    <d v="2024-11-15T00:00:00"/>
    <n v="581.5"/>
    <n v="-0.12764292654405382"/>
    <d v="2026-04-28T11:01:47"/>
  </r>
  <r>
    <s v="CUST025"/>
    <s v="Lisa Thomas"/>
    <x v="1"/>
    <x v="4"/>
    <n v="1014.56"/>
    <n v="10"/>
    <n v="0.1"/>
    <d v="2024-11-16T00:00:00"/>
    <n v="410.9"/>
    <n v="-0.29226462703043682"/>
    <d v="2026-04-28T11:01:47"/>
  </r>
  <r>
    <s v="CUST019"/>
    <s v="James Taylor"/>
    <x v="2"/>
    <x v="2"/>
    <n v="718.04"/>
    <n v="14"/>
    <n v="0"/>
    <d v="2024-11-17T00:00:00"/>
    <n v="179.51"/>
    <n v="0.77963623196479304"/>
    <d v="2026-04-28T11:01:47"/>
  </r>
  <r>
    <s v="CUST004"/>
    <s v="James Taylor"/>
    <x v="4"/>
    <x v="1"/>
    <n v="1277.8499999999999"/>
    <n v="18"/>
    <n v="0.2"/>
    <d v="2024-11-17T00:00:00"/>
    <n v="511.14"/>
    <n v="-0.44693821653558707"/>
    <d v="2026-04-28T11:01:47"/>
  </r>
  <r>
    <s v="CUST024"/>
    <s v="James Wilson"/>
    <x v="3"/>
    <x v="2"/>
    <n v="706.73"/>
    <n v="1"/>
    <n v="0.15"/>
    <d v="2024-11-17T00:00:00"/>
    <n v="150.18"/>
    <n v="0.99593904319895843"/>
    <d v="2026-04-28T11:01:47"/>
  </r>
  <r>
    <s v="CUST002"/>
    <s v="Linda Brown"/>
    <x v="1"/>
    <x v="2"/>
    <n v="1410.59"/>
    <n v="15"/>
    <n v="0"/>
    <d v="2024-11-19T00:00:00"/>
    <n v="352.65"/>
    <n v="-4.2719713027881946E-2"/>
    <d v="2026-04-28T11:01:47"/>
  </r>
  <r>
    <s v="CUST009"/>
    <s v="Emma Wilson"/>
    <x v="2"/>
    <x v="3"/>
    <n v="1350.33"/>
    <n v="10"/>
    <n v="0"/>
    <d v="2024-11-19T00:00:00"/>
    <n v="472.62"/>
    <n v="-0.31929232113631484"/>
    <d v="2026-04-28T11:01:47"/>
  </r>
  <r>
    <s v="CUST029"/>
    <s v="Lisa Thomas"/>
    <x v="1"/>
    <x v="2"/>
    <n v="919.18"/>
    <n v="4"/>
    <n v="0.15"/>
    <d v="2024-11-19T00:00:00"/>
    <n v="195.33"/>
    <n v="-0.71876019930807888"/>
    <d v="2026-04-28T11:01:47"/>
  </r>
  <r>
    <s v="CUST027"/>
    <s v="James Wilson"/>
    <x v="0"/>
    <x v="2"/>
    <n v="258.51"/>
    <n v="19"/>
    <n v="0"/>
    <d v="2024-11-20T00:00:00"/>
    <n v="64.63"/>
    <n v="3.6941317550578319"/>
    <d v="2026-04-28T11:01:47"/>
  </r>
  <r>
    <s v="CUST011"/>
    <s v="Emma Wilson"/>
    <x v="1"/>
    <x v="0"/>
    <n v="1213.48"/>
    <n v="5"/>
    <n v="0.05"/>
    <d v="2024-11-20T00:00:00"/>
    <n v="461.12"/>
    <n v="-5.2081616507894689E-2"/>
    <d v="2026-04-28T11:01:47"/>
  </r>
  <r>
    <s v="CUST021"/>
    <s v="Emma Davis"/>
    <x v="4"/>
    <x v="0"/>
    <n v="1150.28"/>
    <n v="8"/>
    <n v="0.05"/>
    <d v="2024-11-26T00:00:00"/>
    <n v="437.11"/>
    <n v="-0.25769377890600548"/>
    <d v="2026-04-28T11:01:47"/>
  </r>
  <r>
    <s v="CUST014"/>
    <s v="David Anderson"/>
    <x v="2"/>
    <x v="3"/>
    <n v="853.86"/>
    <n v="8"/>
    <n v="0.1"/>
    <d v="2024-11-26T00:00:00"/>
    <n v="268.97000000000003"/>
    <n v="0.24263930855175314"/>
    <d v="2026-04-28T11:01:47"/>
  </r>
  <r>
    <s v="CUST018"/>
    <s v="Lisa Thomas"/>
    <x v="2"/>
    <x v="2"/>
    <n v="1061.04"/>
    <n v="1"/>
    <n v="0"/>
    <d v="2024-11-28T00:00:00"/>
    <n v="265.26"/>
    <n v="-0.15691208625499511"/>
    <d v="2026-04-28T11:01:47"/>
  </r>
  <r>
    <s v="CUST001"/>
    <s v="Sarah Anderson"/>
    <x v="0"/>
    <x v="2"/>
    <n v="894.55"/>
    <n v="19"/>
    <n v="0.2"/>
    <d v="2024-11-29T00:00:00"/>
    <n v="178.91"/>
    <n v="-6.778827343356994E-2"/>
    <d v="2026-04-28T11:01:47"/>
  </r>
  <r>
    <s v="CUST007"/>
    <s v="Emma Davis"/>
    <x v="3"/>
    <x v="4"/>
    <n v="833.91"/>
    <n v="3"/>
    <n v="0.05"/>
    <d v="2024-11-30T00:00:00"/>
    <n v="356.5"/>
    <n v="-1.6452614790564826E-2"/>
    <d v="2026-04-28T11:01:47"/>
  </r>
  <r>
    <s v="CUST015"/>
    <s v="David Anderson"/>
    <x v="0"/>
    <x v="3"/>
    <n v="820.19"/>
    <n v="4"/>
    <n v="0.2"/>
    <d v="2024-12-04T00:00:00"/>
    <n v="229.65"/>
    <n v="-0.37607139809068635"/>
    <d v="2026-04-28T11:01:47"/>
  </r>
  <r>
    <s v="CUST015"/>
    <s v="Emma Davis"/>
    <x v="4"/>
    <x v="2"/>
    <n v="511.74"/>
    <n v="8"/>
    <n v="0.05"/>
    <d v="2024-12-05T00:00:00"/>
    <n v="121.54"/>
    <n v="0.57507718763434545"/>
    <d v="2026-04-28T11:01:47"/>
  </r>
  <r>
    <s v="CUST002"/>
    <s v="Emma Wilson"/>
    <x v="2"/>
    <x v="3"/>
    <n v="806.03"/>
    <n v="19"/>
    <n v="0.05"/>
    <d v="2024-12-12T00:00:00"/>
    <n v="268"/>
    <n v="0.77719191593365022"/>
    <d v="2026-04-28T11:01:47"/>
  </r>
  <r>
    <s v="CUST001"/>
    <s v="Michael Anderson"/>
    <x v="4"/>
    <x v="3"/>
    <n v="1432.47"/>
    <n v="16"/>
    <n v="0.15"/>
    <d v="2024-12-14T00:00:00"/>
    <n v="426.16"/>
    <n v="3.9170104784044271E-2"/>
    <d v="2026-04-28T11:01:47"/>
  </r>
  <r>
    <s v="CUST027"/>
    <s v="Linda Wilson"/>
    <x v="4"/>
    <x v="2"/>
    <n v="1488.58"/>
    <n v="10"/>
    <n v="0.15"/>
    <d v="2024-12-14T00:00:00"/>
    <n v="316.32"/>
    <n v="-0.17286272823764928"/>
    <d v="2026-04-28T11:01:47"/>
  </r>
  <r>
    <s v="CUST026"/>
    <s v="Emma Taylor"/>
    <x v="1"/>
    <x v="0"/>
    <n v="1231.26"/>
    <n v="9"/>
    <n v="0"/>
    <d v="2024-12-20T00:00:00"/>
    <n v="492.5"/>
    <n v="-5.651933791400672E-2"/>
    <d v="2026-04-28T11:01:47"/>
  </r>
  <r>
    <s v="CUST026"/>
    <s v="Sarah Anderson"/>
    <x v="0"/>
    <x v="2"/>
    <n v="1161.67"/>
    <n v="19"/>
    <n v="0.2"/>
    <d v="2024-12-21T00:00:00"/>
    <n v="232.33"/>
    <n v="-0.66580009813458207"/>
    <d v="2026-04-28T11:01:47"/>
  </r>
  <r>
    <s v="CUST022"/>
    <s v="Lisa Thomas"/>
    <x v="4"/>
    <x v="4"/>
    <n v="388.23"/>
    <n v="16"/>
    <n v="0.05"/>
    <d v="2024-12-24T00:00:00"/>
    <n v="165.97"/>
    <n v="3.0940164335574272"/>
    <d v="2026-04-28T11:01:47"/>
  </r>
  <r>
    <s v="CUST004"/>
    <s v="Mary Davis"/>
    <x v="3"/>
    <x v="1"/>
    <n v="1589.42"/>
    <n v="6"/>
    <n v="0.15"/>
    <d v="2024-12-25T00:00:00"/>
    <n v="675.5"/>
    <n v="-0.78818688578223495"/>
    <d v="2026-04-28T11:01:47"/>
  </r>
  <r>
    <s v="CUST001"/>
    <s v="David Anderson"/>
    <x v="3"/>
    <x v="1"/>
    <n v="336.66"/>
    <n v="13"/>
    <n v="0.2"/>
    <d v="2024-12-25T00:00:00"/>
    <n v="134.66"/>
    <n v="3.0212380443177085"/>
    <d v="2026-04-28T11:01:47"/>
  </r>
  <r>
    <s v="CUST022"/>
    <s v="James Wilson"/>
    <x v="0"/>
    <x v="0"/>
    <n v="1353.79"/>
    <n v="14"/>
    <n v="0.1"/>
    <d v="2024-12-30T00:00:00"/>
    <n v="487.36"/>
    <n v="-0.51055185811684234"/>
    <d v="2026-04-28T11:01:47"/>
  </r>
  <r>
    <s v="CUST011"/>
    <s v="Linda Moore"/>
    <x v="4"/>
    <x v="1"/>
    <n v="662.61"/>
    <n v="11"/>
    <n v="0.05"/>
    <d v="2025-01-01T00:00:00"/>
    <n v="314.74"/>
    <n v="-0.53302847829039701"/>
    <d v="2026-04-28T11:01:47"/>
  </r>
  <r>
    <s v="CUST028"/>
    <s v="Lisa Davis"/>
    <x v="3"/>
    <x v="4"/>
    <n v="309.42"/>
    <n v="1"/>
    <n v="0.2"/>
    <d v="2025-01-01T00:00:00"/>
    <n v="111.39"/>
    <n v="1.8589942473014027"/>
    <d v="2026-04-28T11:01:47"/>
  </r>
  <r>
    <s v="CUST011"/>
    <s v="Linda Wilson"/>
    <x v="3"/>
    <x v="0"/>
    <n v="884.63"/>
    <n v="18"/>
    <n v="0.1"/>
    <d v="2025-01-02T00:00:00"/>
    <n v="318.47000000000003"/>
    <n v="-0.15778348009902449"/>
    <d v="2026-04-28T11:01:47"/>
  </r>
  <r>
    <s v="CUST028"/>
    <s v="James Wilson"/>
    <x v="4"/>
    <x v="4"/>
    <n v="745.05"/>
    <n v="10"/>
    <n v="0.1"/>
    <d v="2025-01-03T00:00:00"/>
    <n v="301.75"/>
    <n v="0.16801556942487092"/>
    <d v="2026-04-28T11:01:47"/>
  </r>
  <r>
    <s v="CUST016"/>
    <s v="James Taylor"/>
    <x v="2"/>
    <x v="1"/>
    <n v="870.23"/>
    <n v="5"/>
    <n v="0.05"/>
    <d v="2025-01-03T00:00:00"/>
    <n v="413.36"/>
    <n v="-9.2389368327912887E-3"/>
    <d v="2026-04-28T11:01:47"/>
  </r>
  <r>
    <s v="CUST010"/>
    <s v="Linda Wilson"/>
    <x v="0"/>
    <x v="3"/>
    <n v="862.19"/>
    <n v="18"/>
    <n v="0.05"/>
    <d v="2025-01-06T00:00:00"/>
    <n v="286.68"/>
    <n v="0.3583780837170461"/>
    <d v="2026-04-28T11:01:47"/>
  </r>
  <r>
    <s v="CUST013"/>
    <s v="Mary Wilson"/>
    <x v="3"/>
    <x v="1"/>
    <n v="1171.18"/>
    <n v="19"/>
    <n v="0.05"/>
    <d v="2025-01-10T00:00:00"/>
    <n v="556.30999999999995"/>
    <n v="-9.9574787820830374E-2"/>
    <d v="2026-04-28T11:01:47"/>
  </r>
  <r>
    <s v="CUST015"/>
    <s v="Robert Anderson"/>
    <x v="2"/>
    <x v="3"/>
    <n v="1054.56"/>
    <n v="11"/>
    <n v="0.1"/>
    <d v="2025-01-12T00:00:00"/>
    <n v="332.19"/>
    <n v="0.59422887270520419"/>
    <d v="2026-04-28T11:01:47"/>
  </r>
  <r>
    <s v="CUST015"/>
    <s v="James Wilson"/>
    <x v="3"/>
    <x v="2"/>
    <n v="1681.21"/>
    <n v="5"/>
    <n v="0.2"/>
    <d v="2025-01-13T00:00:00"/>
    <n v="336.24"/>
    <n v="-0.77410912378584473"/>
    <d v="2026-04-28T11:01:47"/>
  </r>
  <r>
    <s v="CUST015"/>
    <s v="David Thomas"/>
    <x v="0"/>
    <x v="1"/>
    <n v="379.77"/>
    <n v="9"/>
    <n v="0.05"/>
    <d v="2025-01-16T00:00:00"/>
    <n v="180.39"/>
    <n v="1.8341627827369196"/>
    <d v="2026-04-28T11:01:47"/>
  </r>
  <r>
    <s v="CUST008"/>
    <s v="Lisa Thomas"/>
    <x v="4"/>
    <x v="1"/>
    <n v="1076.33"/>
    <n v="2"/>
    <n v="0.1"/>
    <d v="2025-01-17T00:00:00"/>
    <n v="484.35"/>
    <n v="0.16201350886809818"/>
    <d v="2026-04-28T11:01:47"/>
  </r>
  <r>
    <s v="CUST008"/>
    <s v="Mary Davis"/>
    <x v="4"/>
    <x v="4"/>
    <n v="1250.71"/>
    <n v="7"/>
    <n v="0"/>
    <d v="2025-01-17T00:00:00"/>
    <n v="562.82000000000005"/>
    <n v="-0.10583588521719672"/>
    <d v="2026-04-28T11:01:47"/>
  </r>
  <r>
    <s v="CUST023"/>
    <s v="James Taylor"/>
    <x v="2"/>
    <x v="1"/>
    <n v="1118.3399999999999"/>
    <n v="6"/>
    <n v="0.2"/>
    <d v="2025-01-17T00:00:00"/>
    <n v="447.34"/>
    <n v="0.45091832537510956"/>
    <d v="2026-04-28T11:01:47"/>
  </r>
  <r>
    <s v="CUST024"/>
    <s v="Linda Taylor"/>
    <x v="3"/>
    <x v="1"/>
    <n v="1622.62"/>
    <n v="12"/>
    <n v="0.2"/>
    <d v="2025-01-20T00:00:00"/>
    <n v="649.04999999999995"/>
    <n v="-0.60518174310682726"/>
    <d v="2026-04-28T11:01:47"/>
  </r>
  <r>
    <s v="CUST018"/>
    <s v="Lisa Davis"/>
    <x v="3"/>
    <x v="0"/>
    <n v="640.64"/>
    <n v="11"/>
    <n v="0.2"/>
    <d v="2025-01-21T00:00:00"/>
    <n v="205"/>
    <n v="-8.6600899100899131E-2"/>
    <d v="2026-04-28T11:01:47"/>
  </r>
  <r>
    <s v="CUST030"/>
    <s v="Sarah Anderson"/>
    <x v="0"/>
    <x v="1"/>
    <n v="585.16"/>
    <n v="17"/>
    <n v="0.1"/>
    <d v="2025-01-27T00:00:00"/>
    <n v="263.32"/>
    <n v="0.8968829038211773"/>
    <d v="2026-04-28T11:01:47"/>
  </r>
  <r>
    <s v="CUST030"/>
    <s v="Mary Davis"/>
    <x v="1"/>
    <x v="1"/>
    <n v="1109.98"/>
    <n v="5"/>
    <n v="0.2"/>
    <d v="2025-02-02T00:00:00"/>
    <n v="443.99"/>
    <n v="-1.0720913890340448E-2"/>
    <d v="2026-04-28T11:01:47"/>
  </r>
  <r>
    <s v="CUST015"/>
    <s v="Lisa Thomas"/>
    <x v="1"/>
    <x v="0"/>
    <n v="1098.08"/>
    <n v="9"/>
    <n v="0.1"/>
    <d v="2025-02-04T00:00:00"/>
    <n v="395.31"/>
    <n v="-0.24663958910097619"/>
    <d v="2026-04-28T11:01:47"/>
  </r>
  <r>
    <s v="CUST002"/>
    <s v="Lisa Davis"/>
    <x v="0"/>
    <x v="4"/>
    <n v="827.25"/>
    <n v="7"/>
    <n v="0.1"/>
    <d v="2025-02-05T00:00:00"/>
    <n v="335.04"/>
    <n v="-0.10319734058627984"/>
    <d v="2026-04-28T11:01:47"/>
  </r>
  <r>
    <s v="CUST024"/>
    <s v="Linda Wilson"/>
    <x v="4"/>
    <x v="1"/>
    <n v="741.88"/>
    <n v="16"/>
    <n v="0.1"/>
    <d v="2025-02-07T00:00:00"/>
    <n v="333.85"/>
    <n v="0.76748261174313903"/>
    <d v="2026-04-28T11:01:47"/>
  </r>
  <r>
    <s v="CUST004"/>
    <s v="James Davis"/>
    <x v="1"/>
    <x v="4"/>
    <n v="1311.26"/>
    <n v="6"/>
    <n v="0.1"/>
    <d v="2025-02-10T00:00:00"/>
    <n v="531.05999999999995"/>
    <n v="-0.56277168524930221"/>
    <d v="2026-04-28T11:01:47"/>
  </r>
  <r>
    <s v="CUST004"/>
    <s v="Mary Davis"/>
    <x v="2"/>
    <x v="4"/>
    <n v="573.32000000000005"/>
    <n v="19"/>
    <n v="0.1"/>
    <d v="2025-02-15T00:00:00"/>
    <n v="232.19"/>
    <n v="0.94519639991627702"/>
    <d v="2026-04-28T11:01:47"/>
  </r>
  <r>
    <s v="CUST028"/>
    <s v="James Wilson"/>
    <x v="0"/>
    <x v="2"/>
    <n v="1115.22"/>
    <n v="14"/>
    <n v="0.2"/>
    <d v="2025-02-17T00:00:00"/>
    <n v="223.04"/>
    <n v="-0.24154875271246928"/>
    <d v="2026-04-28T11:01:47"/>
  </r>
  <r>
    <s v="CUST012"/>
    <s v="Lisa Thomas"/>
    <x v="3"/>
    <x v="1"/>
    <n v="845.84"/>
    <n v="4"/>
    <n v="0"/>
    <d v="2025-02-19T00:00:00"/>
    <n v="422.92"/>
    <n v="0.21748794098174587"/>
    <d v="2026-04-28T11:01:47"/>
  </r>
  <r>
    <s v="CUST026"/>
    <s v="David Brown"/>
    <x v="0"/>
    <x v="2"/>
    <n v="1029.8"/>
    <n v="3"/>
    <n v="0"/>
    <d v="2025-02-20T00:00:00"/>
    <n v="257.45"/>
    <n v="0.15539910662264517"/>
    <d v="2026-04-28T11:01:47"/>
  </r>
  <r>
    <s v="CUST009"/>
    <s v="Mary Davis"/>
    <x v="3"/>
    <x v="0"/>
    <n v="1189.83"/>
    <n v="2"/>
    <n v="0.2"/>
    <d v="2025-02-21T00:00:00"/>
    <n v="380.75"/>
    <n v="-0.40808350772799473"/>
    <d v="2026-04-28T11:01:47"/>
  </r>
  <r>
    <s v="CUST003"/>
    <s v="Sarah Anderson"/>
    <x v="2"/>
    <x v="0"/>
    <n v="704.28"/>
    <n v="15"/>
    <n v="0.2"/>
    <d v="2025-02-24T00:00:00"/>
    <n v="225.37"/>
    <n v="1.2976940989379226"/>
    <d v="2026-04-28T11:01:47"/>
  </r>
  <r>
    <s v="CUST002"/>
    <s v="Mary Jackson"/>
    <x v="4"/>
    <x v="4"/>
    <n v="1618.22"/>
    <n v="12"/>
    <n v="0.2"/>
    <d v="2025-02-24T00:00:00"/>
    <n v="582.55999999999995"/>
    <n v="-0.37311984773392992"/>
    <d v="2026-04-28T11:01:47"/>
  </r>
  <r>
    <s v="CUST013"/>
    <s v="Linda Taylor"/>
    <x v="4"/>
    <x v="0"/>
    <n v="1014.43"/>
    <n v="2"/>
    <n v="0.15"/>
    <d v="2025-02-25T00:00:00"/>
    <n v="344.91"/>
    <n v="-0.1847934307936476"/>
    <d v="2026-04-28T11:01:47"/>
  </r>
  <r>
    <s v="CUST018"/>
    <s v="Mary Davis"/>
    <x v="4"/>
    <x v="1"/>
    <n v="826.97"/>
    <n v="18"/>
    <n v="0.2"/>
    <d v="2025-02-27T00:00:00"/>
    <n v="330.79"/>
    <n v="0.23611497394101355"/>
    <d v="2026-04-28T11:01:47"/>
  </r>
  <r>
    <s v="CUST017"/>
    <s v="Mary Davis"/>
    <x v="4"/>
    <x v="1"/>
    <n v="1022.23"/>
    <n v="8"/>
    <n v="0.1"/>
    <d v="2025-03-01T00:00:00"/>
    <n v="460"/>
    <n v="7.5775510403725224E-2"/>
    <d v="2026-04-28T11:01:47"/>
  </r>
  <r>
    <s v="CUST004"/>
    <s v="Linda Wilson"/>
    <x v="1"/>
    <x v="0"/>
    <n v="1099.69"/>
    <n v="6"/>
    <n v="0"/>
    <d v="2025-03-02T00:00:00"/>
    <n v="439.88"/>
    <n v="-0.35389064190817415"/>
    <d v="2026-04-28T11:01:47"/>
  </r>
  <r>
    <s v="CUST028"/>
    <s v="Sarah Davis"/>
    <x v="3"/>
    <x v="0"/>
    <n v="710.52"/>
    <n v="8"/>
    <n v="0.1"/>
    <d v="2025-03-05T00:00:00"/>
    <n v="255.79"/>
    <n v="-0.29744412542926307"/>
    <d v="2026-04-28T11:01:47"/>
  </r>
  <r>
    <s v="CUST028"/>
    <s v="Mary Wilson"/>
    <x v="3"/>
    <x v="0"/>
    <n v="499.18"/>
    <n v="15"/>
    <n v="0.2"/>
    <d v="2025-03-08T00:00:00"/>
    <n v="159.74"/>
    <n v="1.1318762770944348"/>
    <d v="2026-04-28T11:01:47"/>
  </r>
  <r>
    <s v="CUST014"/>
    <s v="Emma Davis"/>
    <x v="2"/>
    <x v="0"/>
    <n v="1064.19"/>
    <n v="18"/>
    <n v="0.05"/>
    <d v="2025-03-09T00:00:00"/>
    <n v="404.39"/>
    <n v="-0.58770520301825802"/>
    <d v="2026-04-28T11:01:47"/>
  </r>
  <r>
    <s v="CUST003"/>
    <s v="Emma Davis"/>
    <x v="1"/>
    <x v="4"/>
    <n v="438.76"/>
    <n v="18"/>
    <n v="0.05"/>
    <d v="2025-03-10T00:00:00"/>
    <n v="187.57"/>
    <n v="0.97141945482724046"/>
    <d v="2026-04-28T11:01:47"/>
  </r>
  <r>
    <s v="CUST029"/>
    <s v="David Brown"/>
    <x v="0"/>
    <x v="1"/>
    <n v="864.98"/>
    <n v="2"/>
    <n v="0.05"/>
    <d v="2025-03-11T00:00:00"/>
    <n v="410.87"/>
    <n v="0.13867372656015159"/>
    <d v="2026-04-28T11:01:47"/>
  </r>
  <r>
    <s v="CUST021"/>
    <s v="David Brown"/>
    <x v="0"/>
    <x v="3"/>
    <n v="984.93"/>
    <n v="14"/>
    <n v="0.2"/>
    <d v="2025-03-17T00:00:00"/>
    <n v="275.77999999999997"/>
    <n v="0.51634126283086113"/>
    <d v="2026-04-28T11:01:47"/>
  </r>
  <r>
    <s v="CUST007"/>
    <s v="David Brown"/>
    <x v="0"/>
    <x v="1"/>
    <n v="1493.49"/>
    <n v="18"/>
    <n v="0"/>
    <d v="2025-03-18T00:00:00"/>
    <n v="746.74"/>
    <n v="-0.53837655424542519"/>
    <d v="2026-04-28T11:01:47"/>
  </r>
  <r>
    <s v="CUST009"/>
    <s v="Linda Taylor"/>
    <x v="2"/>
    <x v="1"/>
    <n v="689.43"/>
    <n v="9"/>
    <n v="0.1"/>
    <d v="2025-03-20T00:00:00"/>
    <n v="310.24"/>
    <n v="-1.0428905037494657E-2"/>
    <d v="2026-04-28T11:01:47"/>
  </r>
  <r>
    <s v="CUST023"/>
    <s v="Mary Wilson"/>
    <x v="2"/>
    <x v="1"/>
    <n v="682.24"/>
    <n v="1"/>
    <n v="0"/>
    <d v="2025-03-22T00:00:00"/>
    <n v="341.12"/>
    <n v="-0.32789047842401498"/>
    <d v="2026-04-28T11:01:47"/>
  </r>
  <r>
    <s v="CUST029"/>
    <s v="Michael Anderson"/>
    <x v="3"/>
    <x v="2"/>
    <n v="458.54"/>
    <n v="15"/>
    <n v="0.2"/>
    <d v="2025-03-25T00:00:00"/>
    <n v="91.71"/>
    <n v="1.5826536398133206"/>
    <d v="2026-04-28T11:01:47"/>
  </r>
  <r>
    <s v="CUST009"/>
    <s v="Michael Anderson"/>
    <x v="2"/>
    <x v="3"/>
    <n v="1184.25"/>
    <n v="11"/>
    <n v="0.2"/>
    <d v="2025-03-26T00:00:00"/>
    <n v="331.59"/>
    <n v="-0.35643656322567024"/>
    <d v="2026-04-28T11:01:47"/>
  </r>
  <r>
    <s v="CUST007"/>
    <s v="James Davis"/>
    <x v="2"/>
    <x v="1"/>
    <n v="762.14"/>
    <n v="9"/>
    <n v="0"/>
    <d v="2025-03-27T00:00:00"/>
    <n v="381.07"/>
    <n v="-1.4997244600729459E-2"/>
    <d v="2026-04-28T11:01:47"/>
  </r>
  <r>
    <s v="CUST030"/>
    <s v="Linda Taylor"/>
    <x v="3"/>
    <x v="0"/>
    <n v="750.71"/>
    <n v="10"/>
    <n v="0.15"/>
    <d v="2025-03-27T00:00:00"/>
    <n v="255.24"/>
    <n v="0.94074942387872806"/>
    <d v="2026-04-28T11:01:47"/>
  </r>
  <r>
    <s v="CUST018"/>
    <s v="David Anderson"/>
    <x v="4"/>
    <x v="1"/>
    <n v="1456.94"/>
    <n v="14"/>
    <n v="0.05"/>
    <d v="2025-03-29T00:00:00"/>
    <n v="692.05"/>
    <n v="-0.24953670020728372"/>
    <d v="2026-04-28T11:01:47"/>
  </r>
  <r>
    <s v="CUST008"/>
    <s v="Emma Wilson"/>
    <x v="1"/>
    <x v="3"/>
    <n v="1093.3800000000001"/>
    <n v="17"/>
    <n v="0.1"/>
    <d v="2025-03-29T00:00:00"/>
    <n v="344.41"/>
    <n v="-0.14552122775247409"/>
    <d v="2026-04-28T11:01:47"/>
  </r>
  <r>
    <s v="CUST014"/>
    <s v="Sarah Anderson"/>
    <x v="0"/>
    <x v="1"/>
    <n v="934.27"/>
    <n v="8"/>
    <n v="0.15"/>
    <d v="2025-03-30T00:00:00"/>
    <n v="397.06"/>
    <n v="0.56844381174606906"/>
    <d v="2026-04-28T11:01:47"/>
  </r>
  <r>
    <s v="CUST024"/>
    <s v="David Thomas"/>
    <x v="4"/>
    <x v="1"/>
    <n v="1465.35"/>
    <n v="8"/>
    <n v="0.2"/>
    <d v="2025-03-30T00:00:00"/>
    <n v="586.14"/>
    <n v="-0.49445524959907189"/>
    <d v="2026-04-28T11:01:47"/>
  </r>
  <r>
    <s v="CUST028"/>
    <s v="Robert Anderson"/>
    <x v="2"/>
    <x v="4"/>
    <n v="740.8"/>
    <n v="3"/>
    <n v="0"/>
    <d v="2025-04-02T00:00:00"/>
    <n v="333.36"/>
    <n v="-0.26371490280777526"/>
    <d v="2026-04-28T11:01:47"/>
  </r>
  <r>
    <s v="CUST015"/>
    <s v="Sarah Anderson"/>
    <x v="0"/>
    <x v="4"/>
    <n v="545.44000000000005"/>
    <n v="17"/>
    <n v="0"/>
    <d v="2025-04-05T00:00:00"/>
    <n v="245.45"/>
    <n v="0.82900044001173345"/>
    <d v="2026-04-28T11:01:47"/>
  </r>
  <r>
    <s v="CUST010"/>
    <s v="David Thomas"/>
    <x v="1"/>
    <x v="0"/>
    <n v="997.61"/>
    <n v="8"/>
    <n v="0.05"/>
    <d v="2025-04-05T00:00:00"/>
    <n v="379.09"/>
    <n v="-6.9455999839616644E-2"/>
    <d v="2026-04-28T11:01:47"/>
  </r>
  <r>
    <s v="CUST016"/>
    <s v="David Thomas"/>
    <x v="2"/>
    <x v="1"/>
    <n v="928.32"/>
    <n v="2"/>
    <n v="0.05"/>
    <d v="2025-04-07T00:00:00"/>
    <n v="440.95"/>
    <n v="-1"/>
    <d v="2026-04-28T11:01: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n v="1036.0899999999999"/>
    <n v="4"/>
    <n v="0.2"/>
    <x v="0"/>
    <x v="0"/>
    <n v="6.2919244467179544E-2"/>
    <d v="2026-04-28T12:23:37"/>
    <s v="Apr-24"/>
  </r>
  <r>
    <s v="CUST012"/>
    <s v="Robert Anderson"/>
    <s v="West"/>
    <s v="Clothing"/>
    <n v="1101.28"/>
    <n v="3"/>
    <n v="0.2"/>
    <x v="1"/>
    <x v="1"/>
    <n v="-0.35226282144413767"/>
    <d v="2026-04-28T12:23:37"/>
    <s v="Apr-24"/>
  </r>
  <r>
    <s v="CUST017"/>
    <s v="James Taylor"/>
    <s v="East"/>
    <s v="Books"/>
    <n v="713.34"/>
    <n v="17"/>
    <n v="0"/>
    <x v="2"/>
    <x v="2"/>
    <n v="6.6714329772618833E-2"/>
    <d v="2026-04-28T12:23:37"/>
    <s v="Apr-24"/>
  </r>
  <r>
    <s v="CUST005"/>
    <s v="Robert Anderson"/>
    <s v="South"/>
    <s v="Electronics"/>
    <n v="760.93"/>
    <n v="4"/>
    <n v="0.15"/>
    <x v="2"/>
    <x v="3"/>
    <n v="0.1131115871367932"/>
    <d v="2026-04-28T12:23:37"/>
    <s v="Apr-24"/>
  </r>
  <r>
    <s v="CUST030"/>
    <s v="James Wilson"/>
    <s v="North"/>
    <s v="Books"/>
    <n v="847"/>
    <n v="12"/>
    <n v="0.2"/>
    <x v="3"/>
    <x v="4"/>
    <n v="0.14007083825265643"/>
    <d v="2026-04-28T12:23:37"/>
    <s v="Apr-24"/>
  </r>
  <r>
    <s v="CUST007"/>
    <s v="Michael Anderson"/>
    <s v="North"/>
    <s v="Furniture"/>
    <n v="965.64"/>
    <n v="8"/>
    <n v="0.1"/>
    <x v="4"/>
    <x v="5"/>
    <n v="0.36441116772296095"/>
    <d v="2026-04-28T12:23:37"/>
    <s v="Apr-24"/>
  </r>
  <r>
    <s v="CUST001"/>
    <s v="Linda Wilson"/>
    <s v="West"/>
    <s v="Electronics"/>
    <n v="1317.53"/>
    <n v="12"/>
    <n v="0.05"/>
    <x v="4"/>
    <x v="6"/>
    <n v="-0.18448156778213776"/>
    <d v="2026-04-28T12:23:37"/>
    <s v="Apr-24"/>
  </r>
  <r>
    <s v="CUST026"/>
    <s v="Mary Davis"/>
    <s v="East"/>
    <s v="Furniture"/>
    <n v="1074.47"/>
    <n v="6"/>
    <n v="0.2"/>
    <x v="5"/>
    <x v="7"/>
    <n v="-0.53322102990311504"/>
    <d v="2026-04-28T12:23:37"/>
    <s v="Apr-24"/>
  </r>
  <r>
    <s v="CUST009"/>
    <s v="Linda Jackson"/>
    <s v="Central"/>
    <s v="Books"/>
    <n v="501.54"/>
    <n v="11"/>
    <n v="0.05"/>
    <x v="5"/>
    <x v="8"/>
    <n v="0.47009211628185171"/>
    <d v="2026-04-28T12:23:37"/>
    <s v="Apr-24"/>
  </r>
  <r>
    <s v="CUST010"/>
    <s v="David Thomas"/>
    <s v="Central"/>
    <s v="Clothing"/>
    <n v="737.31"/>
    <n v="2"/>
    <n v="0.05"/>
    <x v="5"/>
    <x v="9"/>
    <n v="1.1331868549185553"/>
    <d v="2026-04-28T12:23:37"/>
    <s v="Apr-24"/>
  </r>
  <r>
    <s v="CUST014"/>
    <s v="Emma Davis"/>
    <s v="West"/>
    <s v="Office Supplies"/>
    <n v="1572.82"/>
    <n v="6"/>
    <n v="0.05"/>
    <x v="6"/>
    <x v="10"/>
    <n v="-0.14603705446268475"/>
    <d v="2026-04-28T12:23:37"/>
    <s v="Apr-24"/>
  </r>
  <r>
    <s v="CUST014"/>
    <s v="David Thomas"/>
    <s v="Central"/>
    <s v="Books"/>
    <n v="1343.13"/>
    <n v="14"/>
    <n v="0.16"/>
    <x v="7"/>
    <x v="11"/>
    <n v="-0.11283345618071235"/>
    <d v="2026-04-28T12:23:37"/>
    <s v="Apr-24"/>
  </r>
  <r>
    <s v="CUST007"/>
    <s v="Michael Anderson"/>
    <s v="Central"/>
    <s v="Books"/>
    <n v="1191.58"/>
    <n v="14"/>
    <n v="0.05"/>
    <x v="8"/>
    <x v="12"/>
    <n v="-0.30992463787576158"/>
    <d v="2026-04-28T12:23:37"/>
    <s v="Apr-24"/>
  </r>
  <r>
    <s v="CUST023"/>
    <s v="Robert Anderson"/>
    <s v="West"/>
    <s v="Furniture"/>
    <n v="822.28"/>
    <n v="7"/>
    <n v="0.05"/>
    <x v="8"/>
    <x v="13"/>
    <n v="-0.36558106727635359"/>
    <d v="2026-04-28T12:23:37"/>
    <s v="Apr-24"/>
  </r>
  <r>
    <s v="CUST029"/>
    <s v="David Smith"/>
    <s v="North"/>
    <s v="Furniture"/>
    <n v="521.66999999999996"/>
    <n v="15"/>
    <n v="0.15"/>
    <x v="9"/>
    <x v="14"/>
    <n v="1.8809975655107638"/>
    <d v="2026-04-28T12:23:37"/>
    <s v="Apr-24"/>
  </r>
  <r>
    <s v="CUST005"/>
    <s v="Sarah Anderson"/>
    <s v="South"/>
    <s v="Electronics"/>
    <n v="1502.93"/>
    <n v="14"/>
    <n v="0.2"/>
    <x v="10"/>
    <x v="15"/>
    <n v="-0.41608724291883187"/>
    <d v="2026-04-28T12:23:37"/>
    <s v="Apr-24"/>
  </r>
  <r>
    <s v="CUST008"/>
    <s v="Robert Anderson"/>
    <s v="South"/>
    <s v="Books"/>
    <n v="877.58"/>
    <n v="10"/>
    <n v="0.15"/>
    <x v="11"/>
    <x v="16"/>
    <n v="-0.27448209849814259"/>
    <d v="2026-04-28T12:23:37"/>
    <s v="Apr-24"/>
  </r>
  <r>
    <s v="CUST001"/>
    <s v="Lisa Thomas"/>
    <s v="West"/>
    <s v="Books"/>
    <n v="636.70000000000005"/>
    <n v="4"/>
    <n v="0.2"/>
    <x v="11"/>
    <x v="17"/>
    <n v="1.3655410711481075"/>
    <d v="2026-04-28T12:23:37"/>
    <s v="Apr-24"/>
  </r>
  <r>
    <s v="CUST006"/>
    <s v="Mary Jackson"/>
    <s v="West"/>
    <s v="Books"/>
    <n v="1506.14"/>
    <n v="13"/>
    <n v="0.2"/>
    <x v="12"/>
    <x v="18"/>
    <n v="-0.57173967891431077"/>
    <d v="2026-04-28T12:23:37"/>
    <s v="Apr-24"/>
  </r>
  <r>
    <s v="CUST026"/>
    <s v="Mary Davis"/>
    <s v="Central"/>
    <s v="Electronics"/>
    <n v="645.02"/>
    <n v="4"/>
    <n v="0"/>
    <x v="13"/>
    <x v="19"/>
    <n v="0.47793866856841644"/>
    <d v="2026-04-28T12:23:37"/>
    <s v="May-24"/>
  </r>
  <r>
    <s v="CUST007"/>
    <s v="Lisa Davis"/>
    <s v="South"/>
    <s v="Clothing"/>
    <n v="953.3"/>
    <n v="11"/>
    <n v="0"/>
    <x v="14"/>
    <x v="20"/>
    <n v="-0.5924053288576524"/>
    <d v="2026-04-28T12:23:37"/>
    <s v="May-24"/>
  </r>
  <r>
    <s v="CUST022"/>
    <s v="Robert Anderson"/>
    <s v="North"/>
    <s v="Electronics"/>
    <n v="388.56"/>
    <n v="14"/>
    <n v="0.15"/>
    <x v="15"/>
    <x v="21"/>
    <n v="0.9126261066501955"/>
    <d v="2026-04-28T12:23:37"/>
    <s v="May-24"/>
  </r>
  <r>
    <s v="CUST019"/>
    <s v="Mary Davis"/>
    <s v="West"/>
    <s v="Books"/>
    <n v="743.17"/>
    <n v="9"/>
    <n v="0"/>
    <x v="15"/>
    <x v="22"/>
    <n v="-4.95176070078178E-2"/>
    <d v="2026-04-28T12:23:37"/>
    <s v="May-24"/>
  </r>
  <r>
    <s v="CUST023"/>
    <s v="Mary Davis"/>
    <s v="Central"/>
    <s v="Electronics"/>
    <n v="706.37"/>
    <n v="6"/>
    <n v="0"/>
    <x v="15"/>
    <x v="23"/>
    <n v="0.3099508756034372"/>
    <d v="2026-04-28T12:23:37"/>
    <s v="May-24"/>
  </r>
  <r>
    <s v="CUST012"/>
    <s v="Mary Davis"/>
    <s v="Central"/>
    <s v="Office Supplies"/>
    <n v="925.31"/>
    <n v="8"/>
    <n v="0.1"/>
    <x v="16"/>
    <x v="24"/>
    <n v="0.26781294917379034"/>
    <d v="2026-04-28T12:23:37"/>
    <s v="May-24"/>
  </r>
  <r>
    <s v="CUST010"/>
    <s v="Linda Brown"/>
    <s v="South"/>
    <s v="Electronics"/>
    <n v="1173.1199999999999"/>
    <n v="18"/>
    <n v="0"/>
    <x v="16"/>
    <x v="25"/>
    <n v="-0.42415098199672663"/>
    <d v="2026-04-28T12:23:37"/>
    <s v="May-24"/>
  </r>
  <r>
    <s v="CUST030"/>
    <s v="John Brown"/>
    <s v="North"/>
    <s v="Furniture"/>
    <n v="675.54"/>
    <n v="17"/>
    <n v="0"/>
    <x v="17"/>
    <x v="26"/>
    <n v="0.3901323385735857"/>
    <d v="2026-04-28T12:23:37"/>
    <s v="May-24"/>
  </r>
  <r>
    <s v="CUST007"/>
    <s v="Robert Anderson"/>
    <s v="Central"/>
    <s v="Books"/>
    <n v="939.09"/>
    <n v="2"/>
    <n v="0.05"/>
    <x v="18"/>
    <x v="27"/>
    <n v="4.7120084336964504E-2"/>
    <d v="2026-04-28T12:23:37"/>
    <s v="May-24"/>
  </r>
  <r>
    <s v="CUST028"/>
    <s v="Linda Taylor"/>
    <s v="East"/>
    <s v="Office Supplies"/>
    <n v="983.34"/>
    <n v="19"/>
    <n v="0.1"/>
    <x v="19"/>
    <x v="28"/>
    <n v="-0.18521569345292574"/>
    <d v="2026-04-28T12:23:37"/>
    <s v="May-24"/>
  </r>
  <r>
    <s v="CUST028"/>
    <s v="James Wilson"/>
    <s v="South"/>
    <s v="Electronics"/>
    <n v="801.21"/>
    <n v="3"/>
    <n v="0.2"/>
    <x v="19"/>
    <x v="29"/>
    <n v="0.81064889354850789"/>
    <d v="2026-04-28T12:23:37"/>
    <s v="May-24"/>
  </r>
  <r>
    <s v="CUST025"/>
    <s v="David Brown"/>
    <s v="North"/>
    <s v="Electronics"/>
    <n v="1450.71"/>
    <n v="5"/>
    <n v="0.1"/>
    <x v="20"/>
    <x v="30"/>
    <n v="-0.29468329300825113"/>
    <d v="2026-04-28T12:23:37"/>
    <s v="May-24"/>
  </r>
  <r>
    <s v="CUST022"/>
    <s v="David Davis"/>
    <s v="Central"/>
    <s v="Books"/>
    <n v="1023.21"/>
    <n v="18"/>
    <n v="0.05"/>
    <x v="21"/>
    <x v="31"/>
    <n v="-0.16564537094047166"/>
    <d v="2026-04-28T12:23:37"/>
    <s v="May-24"/>
  </r>
  <r>
    <s v="CUST001"/>
    <s v="Mary Jackson"/>
    <s v="West"/>
    <s v="Furniture"/>
    <n v="853.72"/>
    <n v="5"/>
    <n v="0.15"/>
    <x v="21"/>
    <x v="32"/>
    <n v="0.13373237126926857"/>
    <d v="2026-04-28T12:23:37"/>
    <s v="May-24"/>
  </r>
  <r>
    <s v="CUST021"/>
    <s v="Sarah Anderson"/>
    <s v="South"/>
    <s v="Electronics"/>
    <n v="967.89"/>
    <n v="10"/>
    <n v="0.1"/>
    <x v="22"/>
    <x v="33"/>
    <n v="0.24074016675448667"/>
    <d v="2026-04-28T12:23:37"/>
    <s v="May-24"/>
  </r>
  <r>
    <s v="CUST015"/>
    <s v="Linda Taylor"/>
    <s v="North"/>
    <s v="Office Supplies"/>
    <n v="1200.9000000000001"/>
    <n v="14"/>
    <n v="0.05"/>
    <x v="22"/>
    <x v="34"/>
    <n v="-0.60664501623782163"/>
    <d v="2026-04-28T12:23:37"/>
    <s v="May-24"/>
  </r>
  <r>
    <s v="CUST012"/>
    <s v="Michael Anderson"/>
    <s v="West"/>
    <s v="Books"/>
    <n v="472.38"/>
    <n v="12"/>
    <n v="0.2"/>
    <x v="22"/>
    <x v="35"/>
    <n v="0.78017697616325832"/>
    <d v="2026-04-28T12:23:37"/>
    <s v="May-24"/>
  </r>
  <r>
    <s v="CUST019"/>
    <s v="David Brown"/>
    <s v="East"/>
    <s v="Office Supplies"/>
    <n v="840.92"/>
    <n v="9"/>
    <n v="0.05"/>
    <x v="22"/>
    <x v="36"/>
    <n v="0.67680635494458452"/>
    <d v="2026-04-28T12:23:37"/>
    <s v="May-24"/>
  </r>
  <r>
    <s v="CUST028"/>
    <s v="Lisa Davis"/>
    <s v="Central"/>
    <s v="Furniture"/>
    <n v="1410.06"/>
    <n v="11"/>
    <n v="0.05"/>
    <x v="23"/>
    <x v="37"/>
    <n v="-0.4517325503879267"/>
    <d v="2026-04-28T12:23:37"/>
    <s v="May-24"/>
  </r>
  <r>
    <s v="CUST008"/>
    <s v="Mary Wilson"/>
    <s v="Central"/>
    <s v="Furniture"/>
    <n v="773.09"/>
    <n v="13"/>
    <n v="0.15"/>
    <x v="23"/>
    <x v="38"/>
    <n v="-0.24920772484445547"/>
    <d v="2026-04-28T12:23:37"/>
    <s v="May-24"/>
  </r>
  <r>
    <s v="CUST016"/>
    <s v="Emma Wilson"/>
    <s v="East"/>
    <s v="Books"/>
    <n v="580.42999999999995"/>
    <n v="19"/>
    <n v="0.15"/>
    <x v="24"/>
    <x v="39"/>
    <n v="0.98337439484520117"/>
    <d v="2026-04-28T12:23:37"/>
    <s v="May-24"/>
  </r>
  <r>
    <s v="CUST005"/>
    <s v="David Smith"/>
    <s v="South"/>
    <s v="Books"/>
    <n v="1151.21"/>
    <n v="15"/>
    <n v="0.1"/>
    <x v="25"/>
    <x v="40"/>
    <n v="-0.10878119543784368"/>
    <d v="2026-04-28T12:23:37"/>
    <s v="Jun-24"/>
  </r>
  <r>
    <s v="CUST028"/>
    <s v="James Wilson"/>
    <s v="Central"/>
    <s v="Office Supplies"/>
    <n v="1025.98"/>
    <n v="5"/>
    <n v="0.2"/>
    <x v="26"/>
    <x v="41"/>
    <n v="-0.45766974015088019"/>
    <d v="2026-04-28T12:23:37"/>
    <s v="Jun-24"/>
  </r>
  <r>
    <s v="CUST023"/>
    <s v="David Davis"/>
    <s v="East"/>
    <s v="Office Supplies"/>
    <n v="556.41999999999996"/>
    <n v="11"/>
    <n v="0.15"/>
    <x v="26"/>
    <x v="42"/>
    <n v="0.51117860608892574"/>
    <d v="2026-04-28T12:23:37"/>
    <s v="Jun-24"/>
  </r>
  <r>
    <s v="CUST021"/>
    <s v="James Wilson"/>
    <s v="Central"/>
    <s v="Books"/>
    <n v="840.85"/>
    <n v="19"/>
    <n v="0.1"/>
    <x v="27"/>
    <x v="43"/>
    <n v="0.45953499435095435"/>
    <d v="2026-04-28T12:23:37"/>
    <s v="Jun-24"/>
  </r>
  <r>
    <s v="CUST026"/>
    <s v="Emma Wilson"/>
    <s v="North"/>
    <s v="Furniture"/>
    <n v="1227.25"/>
    <n v="12"/>
    <n v="0.15"/>
    <x v="27"/>
    <x v="44"/>
    <n v="-0.3019352210226115"/>
    <d v="2026-04-28T12:23:37"/>
    <s v="Jun-24"/>
  </r>
  <r>
    <s v="CUST017"/>
    <s v="Linda Davis"/>
    <s v="Central"/>
    <s v="Electronics"/>
    <n v="856.7"/>
    <n v="2"/>
    <n v="0"/>
    <x v="28"/>
    <x v="45"/>
    <n v="0.4303957044472978"/>
    <d v="2026-04-28T12:23:37"/>
    <s v="Jun-24"/>
  </r>
  <r>
    <s v="CUST025"/>
    <s v="David Davis"/>
    <s v="Central"/>
    <s v="Office Supplies"/>
    <n v="1225.42"/>
    <n v="8"/>
    <n v="0.15"/>
    <x v="28"/>
    <x v="46"/>
    <n v="-0.18267206345579476"/>
    <d v="2026-04-28T12:23:37"/>
    <s v="Jun-24"/>
  </r>
  <r>
    <s v="CUST011"/>
    <s v="Mary Davis"/>
    <s v="North"/>
    <s v="Office Supplies"/>
    <n v="1001.57"/>
    <n v="12"/>
    <n v="0"/>
    <x v="29"/>
    <x v="47"/>
    <n v="0.18498956638078201"/>
    <d v="2026-04-28T12:23:37"/>
    <s v="Jun-24"/>
  </r>
  <r>
    <s v="CUST021"/>
    <s v="Michael Anderson"/>
    <s v="East"/>
    <s v="Furniture"/>
    <n v="1186.8499999999999"/>
    <n v="19"/>
    <n v="0.2"/>
    <x v="30"/>
    <x v="48"/>
    <n v="-0.34663184058642615"/>
    <d v="2026-04-28T12:23:37"/>
    <s v="Jun-24"/>
  </r>
  <r>
    <s v="CUST008"/>
    <s v="John Brown"/>
    <s v="South"/>
    <s v="Electronics"/>
    <n v="775.45"/>
    <n v="6"/>
    <n v="0.1"/>
    <x v="31"/>
    <x v="49"/>
    <n v="0.3172609452575923"/>
    <d v="2026-04-28T12:23:37"/>
    <s v="Jun-24"/>
  </r>
  <r>
    <s v="CUST007"/>
    <s v="Linda Jackson"/>
    <s v="South"/>
    <s v="Electronics"/>
    <n v="1021.47"/>
    <n v="6"/>
    <n v="0.05"/>
    <x v="32"/>
    <x v="50"/>
    <n v="0.20083800796890741"/>
    <d v="2026-04-28T12:23:37"/>
    <s v="Jun-24"/>
  </r>
  <r>
    <s v="CUST015"/>
    <s v="James Wilson"/>
    <s v="South"/>
    <s v="Clothing"/>
    <n v="1226.6199999999999"/>
    <n v="7"/>
    <n v="0.1"/>
    <x v="33"/>
    <x v="51"/>
    <n v="-0.11388204986059239"/>
    <d v="2026-04-28T12:23:37"/>
    <s v="Jun-24"/>
  </r>
  <r>
    <s v="CUST030"/>
    <s v="Sarah Davis"/>
    <s v="South"/>
    <s v="Furniture"/>
    <n v="1086.93"/>
    <n v="2"/>
    <n v="0"/>
    <x v="34"/>
    <x v="52"/>
    <n v="-0.13251083326433172"/>
    <d v="2026-04-28T12:23:37"/>
    <s v="Jun-24"/>
  </r>
  <r>
    <s v="CUST002"/>
    <s v="Lisa Davis"/>
    <s v="West"/>
    <s v="Books"/>
    <n v="942.9"/>
    <n v="18"/>
    <n v="0.1"/>
    <x v="35"/>
    <x v="53"/>
    <n v="-0.13161522961077529"/>
    <d v="2026-04-28T12:23:37"/>
    <s v="Jun-24"/>
  </r>
  <r>
    <s v="CUST009"/>
    <s v="Emma Davis"/>
    <s v="North"/>
    <s v="Electronics"/>
    <n v="818.8"/>
    <n v="15"/>
    <n v="0.15"/>
    <x v="36"/>
    <x v="54"/>
    <n v="0.12242305813385444"/>
    <d v="2026-04-28T12:23:37"/>
    <s v="Jun-24"/>
  </r>
  <r>
    <s v="CUST005"/>
    <s v="Robert Anderson"/>
    <s v="South"/>
    <s v="Furniture"/>
    <n v="919.04"/>
    <n v="10"/>
    <n v="0.2"/>
    <x v="36"/>
    <x v="55"/>
    <n v="5.8996344011142093E-2"/>
    <d v="2026-04-28T12:23:37"/>
    <s v="Jun-24"/>
  </r>
  <r>
    <s v="CUST030"/>
    <s v="Emma Taylor"/>
    <s v="Central"/>
    <s v="Books"/>
    <n v="973.26"/>
    <n v="11"/>
    <n v="0"/>
    <x v="37"/>
    <x v="56"/>
    <n v="-0.23801450794237919"/>
    <d v="2026-04-28T12:23:37"/>
    <s v="Jun-24"/>
  </r>
  <r>
    <s v="CUST029"/>
    <s v="Sarah Davis"/>
    <s v="North"/>
    <s v="Electronics"/>
    <n v="741.61"/>
    <n v="1"/>
    <n v="0.2"/>
    <x v="38"/>
    <x v="57"/>
    <n v="0.68393090708054083"/>
    <d v="2026-04-28T12:23:37"/>
    <s v="Jun-24"/>
  </r>
  <r>
    <s v="CUST003"/>
    <s v="Emma Davis"/>
    <s v="North"/>
    <s v="Books"/>
    <n v="1248.82"/>
    <n v="2"/>
    <n v="0.1"/>
    <x v="39"/>
    <x v="58"/>
    <n v="8.9316314600983299E-2"/>
    <d v="2026-04-28T12:23:37"/>
    <s v="Jun-24"/>
  </r>
  <r>
    <s v="CUST012"/>
    <s v="Mary Wilson"/>
    <s v="West"/>
    <s v="Clothing"/>
    <n v="1360.36"/>
    <n v="17"/>
    <n v="0"/>
    <x v="39"/>
    <x v="59"/>
    <n v="1.6863183275015479E-2"/>
    <d v="2026-04-28T12:23:37"/>
    <s v="Jun-24"/>
  </r>
  <r>
    <s v="CUST021"/>
    <s v="Mary Davis"/>
    <s v="East"/>
    <s v="Books"/>
    <n v="1383.3"/>
    <n v="8"/>
    <n v="0.1"/>
    <x v="40"/>
    <x v="60"/>
    <n v="-0.64650473505385675"/>
    <d v="2026-04-28T12:23:37"/>
    <s v="Jul-24"/>
  </r>
  <r>
    <s v="CUST010"/>
    <s v="David Brown"/>
    <s v="Central"/>
    <s v="Office Supplies"/>
    <n v="488.99"/>
    <n v="9"/>
    <n v="0"/>
    <x v="41"/>
    <x v="61"/>
    <n v="0.90946645125667192"/>
    <d v="2026-04-28T12:23:37"/>
    <s v="Jul-24"/>
  </r>
  <r>
    <s v="CUST026"/>
    <s v="Mary Davis"/>
    <s v="East"/>
    <s v="Furniture"/>
    <n v="933.71"/>
    <n v="17"/>
    <n v="0.1"/>
    <x v="42"/>
    <x v="62"/>
    <n v="7.6918957706354152E-2"/>
    <d v="2026-04-28T12:23:37"/>
    <s v="Jul-24"/>
  </r>
  <r>
    <s v="CUST003"/>
    <s v="James Davis"/>
    <s v="West"/>
    <s v="Electronics"/>
    <n v="1005.53"/>
    <n v="17"/>
    <n v="0.2"/>
    <x v="42"/>
    <x v="63"/>
    <n v="9.4049904030710119E-2"/>
    <d v="2026-04-28T12:23:37"/>
    <s v="Jul-24"/>
  </r>
  <r>
    <s v="CUST029"/>
    <s v="Emma Wilson"/>
    <s v="South"/>
    <s v="Electronics"/>
    <n v="1100.0999999999999"/>
    <n v="5"/>
    <n v="0.05"/>
    <x v="43"/>
    <x v="64"/>
    <n v="-5.9449140987182868E-2"/>
    <d v="2026-04-28T12:23:37"/>
    <s v="Jul-24"/>
  </r>
  <r>
    <s v="CUST003"/>
    <s v="James Wilson"/>
    <s v="North"/>
    <s v="Furniture"/>
    <n v="1034.7"/>
    <n v="15"/>
    <n v="0.15"/>
    <x v="44"/>
    <x v="65"/>
    <n v="-0.15295254663187396"/>
    <d v="2026-04-28T12:23:37"/>
    <s v="Jul-24"/>
  </r>
  <r>
    <s v="CUST002"/>
    <s v="Mary Davis"/>
    <s v="South"/>
    <s v="Books"/>
    <n v="876.44"/>
    <n v="12"/>
    <n v="0.05"/>
    <x v="45"/>
    <x v="66"/>
    <n v="0.56467071334033114"/>
    <d v="2026-04-28T12:23:37"/>
    <s v="Jul-24"/>
  </r>
  <r>
    <s v="CUST020"/>
    <s v="David Brown"/>
    <s v="West"/>
    <s v="Furniture"/>
    <n v="1371.34"/>
    <n v="5"/>
    <n v="0.05"/>
    <x v="45"/>
    <x v="67"/>
    <n v="-0.25601236746539879"/>
    <d v="2026-04-28T12:23:37"/>
    <s v="Jul-24"/>
  </r>
  <r>
    <s v="CUST021"/>
    <s v="Mary Jackson"/>
    <s v="North"/>
    <s v="Electronics"/>
    <n v="1020.26"/>
    <n v="11"/>
    <n v="0.05"/>
    <x v="46"/>
    <x v="68"/>
    <n v="-0.21117166212534064"/>
    <d v="2026-04-28T12:23:37"/>
    <s v="Jul-24"/>
  </r>
  <r>
    <s v="CUST008"/>
    <s v="James Davis"/>
    <s v="Central"/>
    <s v="Office Supplies"/>
    <n v="804.81"/>
    <n v="1"/>
    <n v="0.05"/>
    <x v="47"/>
    <x v="69"/>
    <n v="-0.24372212074899666"/>
    <d v="2026-04-28T12:23:37"/>
    <s v="Jul-24"/>
  </r>
  <r>
    <s v="CUST030"/>
    <s v="David Brown"/>
    <s v="Central"/>
    <s v="Electronics"/>
    <n v="608.66"/>
    <n v="1"/>
    <n v="0.05"/>
    <x v="48"/>
    <x v="70"/>
    <n v="0.61206584957118937"/>
    <d v="2026-04-28T12:23:37"/>
    <s v="Jul-24"/>
  </r>
  <r>
    <s v="CUST020"/>
    <s v="Linda Moore"/>
    <s v="South"/>
    <s v="Office Supplies"/>
    <n v="981.2"/>
    <n v="19"/>
    <n v="0"/>
    <x v="49"/>
    <x v="71"/>
    <n v="-0.44988789237668164"/>
    <d v="2026-04-28T12:23:37"/>
    <s v="Jul-24"/>
  </r>
  <r>
    <s v="CUST024"/>
    <s v="David Brown"/>
    <s v="East"/>
    <s v="Electronics"/>
    <n v="539.77"/>
    <n v="10"/>
    <n v="0.15"/>
    <x v="50"/>
    <x v="72"/>
    <n v="0.4903570039090725"/>
    <d v="2026-04-28T12:23:37"/>
    <s v="Aug-24"/>
  </r>
  <r>
    <s v="CUST012"/>
    <s v="David Anderson"/>
    <s v="South"/>
    <s v="Books"/>
    <n v="804.45"/>
    <n v="5"/>
    <n v="0.2"/>
    <x v="50"/>
    <x v="73"/>
    <n v="0.8976940766983651"/>
    <d v="2026-04-28T12:23:37"/>
    <s v="Aug-24"/>
  </r>
  <r>
    <s v="CUST024"/>
    <s v="Emma Davis"/>
    <s v="West"/>
    <s v="Electronics"/>
    <n v="1526.6"/>
    <n v="13"/>
    <n v="0.2"/>
    <x v="51"/>
    <x v="74"/>
    <n v="-0.20394340364208041"/>
    <d v="2026-04-28T12:23:37"/>
    <s v="Aug-24"/>
  </r>
  <r>
    <s v="CUST012"/>
    <s v="Linda Wilson"/>
    <s v="West"/>
    <s v="Electronics"/>
    <n v="1215.26"/>
    <n v="5"/>
    <n v="0.15"/>
    <x v="52"/>
    <x v="75"/>
    <n v="3.79178118262758E-2"/>
    <d v="2026-04-28T12:23:37"/>
    <s v="Aug-24"/>
  </r>
  <r>
    <s v="CUST005"/>
    <s v="Linda Taylor"/>
    <s v="Central"/>
    <s v="Furniture"/>
    <n v="1261.3399999999999"/>
    <n v="3"/>
    <n v="0"/>
    <x v="53"/>
    <x v="76"/>
    <n v="-0.589270141278323"/>
    <d v="2026-04-28T12:23:37"/>
    <s v="Aug-24"/>
  </r>
  <r>
    <s v="CUST004"/>
    <s v="Lisa Thomas"/>
    <s v="North"/>
    <s v="Furniture"/>
    <n v="518.07000000000005"/>
    <n v="7"/>
    <n v="0.05"/>
    <x v="54"/>
    <x v="77"/>
    <n v="1.1451541297508054"/>
    <d v="2026-04-28T12:23:37"/>
    <s v="Aug-24"/>
  </r>
  <r>
    <s v="CUST026"/>
    <s v="Linda Wilson"/>
    <s v="West"/>
    <s v="Office Supplies"/>
    <n v="1111.3399999999999"/>
    <n v="1"/>
    <n v="0"/>
    <x v="55"/>
    <x v="78"/>
    <n v="0.16208361077618022"/>
    <d v="2026-04-28T12:23:37"/>
    <s v="Aug-24"/>
  </r>
  <r>
    <s v="CUST030"/>
    <s v="Mary Davis"/>
    <s v="East"/>
    <s v="Clothing"/>
    <n v="1291.47"/>
    <n v="18"/>
    <n v="0.1"/>
    <x v="56"/>
    <x v="79"/>
    <n v="-0.4736927687054287"/>
    <d v="2026-04-28T12:23:37"/>
    <s v="Aug-24"/>
  </r>
  <r>
    <s v="CUST007"/>
    <s v="David Brown"/>
    <s v="North"/>
    <s v="Books"/>
    <n v="679.71"/>
    <n v="19"/>
    <n v="0"/>
    <x v="57"/>
    <x v="80"/>
    <n v="0.68261464448073439"/>
    <d v="2026-04-28T12:23:37"/>
    <s v="Aug-24"/>
  </r>
  <r>
    <s v="CUST020"/>
    <s v="Linda Jackson"/>
    <s v="East"/>
    <s v="Furniture"/>
    <n v="1143.69"/>
    <n v="17"/>
    <n v="0"/>
    <x v="57"/>
    <x v="81"/>
    <n v="-0.30918343257351205"/>
    <d v="2026-04-28T12:23:37"/>
    <s v="Aug-24"/>
  </r>
  <r>
    <s v="CUST028"/>
    <s v="Linda Brown"/>
    <s v="Central"/>
    <s v="Electronics"/>
    <n v="790.08"/>
    <n v="7"/>
    <n v="0.1"/>
    <x v="58"/>
    <x v="82"/>
    <n v="0.35515390846496558"/>
    <d v="2026-04-28T12:23:37"/>
    <s v="Sep-24"/>
  </r>
  <r>
    <s v="CUST005"/>
    <s v="Lisa Davis"/>
    <s v="Central"/>
    <s v="Books"/>
    <n v="1070.68"/>
    <n v="7"/>
    <n v="0.05"/>
    <x v="58"/>
    <x v="83"/>
    <n v="9.1726753091493279E-2"/>
    <d v="2026-04-28T12:23:37"/>
    <s v="Sep-24"/>
  </r>
  <r>
    <s v="CUST015"/>
    <s v="David Thomas"/>
    <s v="West"/>
    <s v="Clothing"/>
    <n v="1168.8900000000001"/>
    <n v="4"/>
    <n v="0.1"/>
    <x v="59"/>
    <x v="84"/>
    <n v="0.14285347637502227"/>
    <d v="2026-04-28T12:23:37"/>
    <s v="Sep-24"/>
  </r>
  <r>
    <s v="CUST003"/>
    <s v="James Davis"/>
    <s v="South"/>
    <s v="Electronics"/>
    <n v="1335.87"/>
    <n v="17"/>
    <n v="0"/>
    <x v="59"/>
    <x v="85"/>
    <n v="-0.34596929341926974"/>
    <d v="2026-04-28T12:23:37"/>
    <s v="Sep-24"/>
  </r>
  <r>
    <s v="CUST023"/>
    <s v="David Brown"/>
    <s v="East"/>
    <s v="Furniture"/>
    <n v="873.7"/>
    <n v="9"/>
    <n v="0"/>
    <x v="60"/>
    <x v="86"/>
    <n v="0.65271832436763189"/>
    <d v="2026-04-28T12:23:37"/>
    <s v="Sep-24"/>
  </r>
  <r>
    <s v="CUST004"/>
    <s v="Sarah Davis"/>
    <s v="West"/>
    <s v="Office Supplies"/>
    <n v="1443.98"/>
    <n v="19"/>
    <n v="0"/>
    <x v="61"/>
    <x v="87"/>
    <n v="-0.200591420933808"/>
    <d v="2026-04-28T12:23:37"/>
    <s v="Sep-24"/>
  </r>
  <r>
    <s v="CUST023"/>
    <s v="James Wilson"/>
    <s v="East"/>
    <s v="Office Supplies"/>
    <n v="1154.33"/>
    <n v="11"/>
    <n v="0.15"/>
    <x v="62"/>
    <x v="88"/>
    <n v="9.5431982188802236E-2"/>
    <d v="2026-04-28T12:23:37"/>
    <s v="Sep-24"/>
  </r>
  <r>
    <s v="CUST022"/>
    <s v="Linda Brown"/>
    <s v="South"/>
    <s v="Books"/>
    <n v="1264.49"/>
    <n v="16"/>
    <n v="0.05"/>
    <x v="62"/>
    <x v="89"/>
    <n v="-0.12885827487761869"/>
    <d v="2026-04-28T12:23:37"/>
    <s v="Sep-24"/>
  </r>
  <r>
    <s v="CUST007"/>
    <s v="Emma Taylor"/>
    <s v="West"/>
    <s v="Furniture"/>
    <n v="1101.55"/>
    <n v="4"/>
    <n v="0.1"/>
    <x v="63"/>
    <x v="90"/>
    <n v="-0.33935817711406652"/>
    <d v="2026-04-28T12:23:37"/>
    <s v="Sep-24"/>
  </r>
  <r>
    <s v="CUST013"/>
    <s v="Robert Anderson"/>
    <s v="South"/>
    <s v="Furniture"/>
    <n v="727.73"/>
    <n v="1"/>
    <n v="0.1"/>
    <x v="64"/>
    <x v="91"/>
    <n v="0.20293240624957051"/>
    <d v="2026-04-28T12:23:37"/>
    <s v="Sep-24"/>
  </r>
  <r>
    <s v="CUST027"/>
    <s v="Emma Davis"/>
    <s v="East"/>
    <s v="Office Supplies"/>
    <n v="875.41"/>
    <n v="13"/>
    <n v="0.15"/>
    <x v="64"/>
    <x v="92"/>
    <n v="0.32388252361750502"/>
    <d v="2026-04-28T12:23:37"/>
    <s v="Sep-24"/>
  </r>
  <r>
    <s v="CUST003"/>
    <s v="James Wilson"/>
    <s v="West"/>
    <s v="Electronics"/>
    <n v="1158.94"/>
    <n v="19"/>
    <n v="0.2"/>
    <x v="65"/>
    <x v="93"/>
    <n v="-0.16622085699000819"/>
    <d v="2026-04-28T12:23:37"/>
    <s v="Sep-24"/>
  </r>
  <r>
    <s v="CUST018"/>
    <s v="Mary Jackson"/>
    <s v="South"/>
    <s v="Books"/>
    <n v="966.3"/>
    <n v="2"/>
    <n v="0.15"/>
    <x v="66"/>
    <x v="94"/>
    <n v="-5.0522612025250893E-2"/>
    <d v="2026-04-28T12:23:37"/>
    <s v="Sep-24"/>
  </r>
  <r>
    <s v="CUST020"/>
    <s v="James Taylor"/>
    <s v="South"/>
    <s v="Books"/>
    <n v="917.48"/>
    <n v="6"/>
    <n v="0"/>
    <x v="67"/>
    <x v="95"/>
    <n v="0.27846928543401489"/>
    <d v="2026-04-28T12:23:37"/>
    <s v="Sep-24"/>
  </r>
  <r>
    <s v="CUST029"/>
    <s v="Emma Wilson"/>
    <s v="West"/>
    <s v="Furniture"/>
    <n v="1172.97"/>
    <n v="7"/>
    <n v="0.15"/>
    <x v="68"/>
    <x v="96"/>
    <n v="2.8005831351185374E-2"/>
    <d v="2026-04-28T12:23:37"/>
    <s v="Sep-24"/>
  </r>
  <r>
    <s v="CUST021"/>
    <s v="James Wilson"/>
    <s v="North"/>
    <s v="Clothing"/>
    <n v="1205.82"/>
    <n v="11"/>
    <n v="0.1"/>
    <x v="68"/>
    <x v="97"/>
    <n v="-0.31421771076943489"/>
    <d v="2026-04-28T12:23:37"/>
    <s v="Sep-24"/>
  </r>
  <r>
    <s v="CUST017"/>
    <s v="Sarah Davis"/>
    <s v="West"/>
    <s v="Office Supplies"/>
    <n v="826.93"/>
    <n v="10"/>
    <n v="0.2"/>
    <x v="69"/>
    <x v="98"/>
    <n v="9.1011331067926068E-2"/>
    <d v="2026-04-28T12:23:37"/>
    <s v="Sep-24"/>
  </r>
  <r>
    <s v="CUST003"/>
    <s v="James Wilson"/>
    <s v="Central"/>
    <s v="Clothing"/>
    <n v="902.19"/>
    <n v="12"/>
    <n v="0"/>
    <x v="69"/>
    <x v="99"/>
    <n v="-0.35050266573559896"/>
    <d v="2026-04-28T12:23:37"/>
    <s v="Sep-24"/>
  </r>
  <r>
    <s v="CUST027"/>
    <s v="Emma Davis"/>
    <s v="North"/>
    <s v="Books"/>
    <n v="585.97"/>
    <n v="17"/>
    <n v="0.1"/>
    <x v="70"/>
    <x v="100"/>
    <n v="0.6898305373995256"/>
    <d v="2026-04-28T12:23:37"/>
    <s v="Sep-24"/>
  </r>
  <r>
    <s v="CUST016"/>
    <s v="Michael Anderson"/>
    <s v="North"/>
    <s v="Clothing"/>
    <n v="990.19"/>
    <n v="8"/>
    <n v="0.1"/>
    <x v="70"/>
    <x v="101"/>
    <n v="2.413678182974982E-2"/>
    <d v="2026-04-28T12:23:37"/>
    <s v="Sep-24"/>
  </r>
  <r>
    <s v="CUST008"/>
    <s v="David Davis"/>
    <s v="Central"/>
    <s v="Electronics"/>
    <n v="1014.09"/>
    <n v="13"/>
    <n v="0.2"/>
    <x v="71"/>
    <x v="102"/>
    <n v="-8.7566192349791502E-2"/>
    <d v="2026-04-28T12:23:37"/>
    <s v="Oct-24"/>
  </r>
  <r>
    <s v="CUST012"/>
    <s v="Lisa Davis"/>
    <s v="North"/>
    <s v="Electronics"/>
    <n v="925.29"/>
    <n v="17"/>
    <n v="0"/>
    <x v="72"/>
    <x v="103"/>
    <n v="0.39041813917798746"/>
    <d v="2026-04-28T12:23:37"/>
    <s v="Oct-24"/>
  </r>
  <r>
    <s v="CUST025"/>
    <s v="Mary Jackson"/>
    <s v="East"/>
    <s v="Furniture"/>
    <n v="1286.54"/>
    <n v="8"/>
    <n v="0"/>
    <x v="73"/>
    <x v="104"/>
    <n v="-0.25255336017535401"/>
    <d v="2026-04-28T12:23:37"/>
    <s v="Oct-24"/>
  </r>
  <r>
    <s v="CUST014"/>
    <s v="Sarah Davis"/>
    <s v="South"/>
    <s v="Books"/>
    <n v="961.62"/>
    <n v="8"/>
    <n v="0.2"/>
    <x v="74"/>
    <x v="105"/>
    <n v="0.12429026018593634"/>
    <d v="2026-04-28T12:23:37"/>
    <s v="Oct-24"/>
  </r>
  <r>
    <s v="CUST008"/>
    <s v="James Wilson"/>
    <s v="East"/>
    <s v="Books"/>
    <n v="1081.1400000000001"/>
    <n v="19"/>
    <n v="0.15"/>
    <x v="74"/>
    <x v="106"/>
    <n v="0.77928852877518162"/>
    <d v="2026-04-28T12:23:37"/>
    <s v="Oct-24"/>
  </r>
  <r>
    <s v="CUST015"/>
    <s v="James Wilson"/>
    <s v="West"/>
    <s v="Clothing"/>
    <n v="1923.66"/>
    <n v="9"/>
    <n v="0.2"/>
    <x v="75"/>
    <x v="107"/>
    <n v="-0.62118565650894653"/>
    <d v="2026-04-28T12:23:37"/>
    <s v="Oct-24"/>
  </r>
  <r>
    <s v="CUST025"/>
    <s v="Emma Taylor"/>
    <s v="Central"/>
    <s v="Clothing"/>
    <n v="728.71"/>
    <n v="14"/>
    <n v="0.1"/>
    <x v="76"/>
    <x v="108"/>
    <n v="0.78656804490126397"/>
    <d v="2026-04-28T12:23:37"/>
    <s v="Oct-24"/>
  </r>
  <r>
    <s v="CUST019"/>
    <s v="Linda Jackson"/>
    <s v="Central"/>
    <s v="Clothing"/>
    <n v="1301.8900000000001"/>
    <n v="7"/>
    <n v="0.15"/>
    <x v="76"/>
    <x v="109"/>
    <n v="-0.24710997088847761"/>
    <d v="2026-04-28T12:23:37"/>
    <s v="Oct-24"/>
  </r>
  <r>
    <s v="CUST024"/>
    <s v="Emma Taylor"/>
    <s v="East"/>
    <s v="Books"/>
    <n v="980.18"/>
    <n v="16"/>
    <n v="0.1"/>
    <x v="77"/>
    <x v="110"/>
    <n v="-0.28832459344202077"/>
    <d v="2026-04-28T12:23:37"/>
    <s v="Oct-24"/>
  </r>
  <r>
    <s v="CUST027"/>
    <s v="James Wilson"/>
    <s v="West"/>
    <s v="Clothing"/>
    <n v="697.57"/>
    <n v="17"/>
    <n v="0.1"/>
    <x v="78"/>
    <x v="111"/>
    <n v="0.71109709419843148"/>
    <d v="2026-04-28T12:23:37"/>
    <s v="Oct-24"/>
  </r>
  <r>
    <s v="CUST006"/>
    <s v="David Anderson"/>
    <s v="West"/>
    <s v="Furniture"/>
    <n v="1193.6099999999999"/>
    <n v="1"/>
    <n v="0.15"/>
    <x v="78"/>
    <x v="112"/>
    <n v="-0.35404361558633052"/>
    <d v="2026-04-28T12:23:37"/>
    <s v="Oct-24"/>
  </r>
  <r>
    <s v="CUST009"/>
    <s v="Emma Davis"/>
    <s v="South"/>
    <s v="Electronics"/>
    <n v="771.02"/>
    <n v="1"/>
    <n v="0"/>
    <x v="79"/>
    <x v="113"/>
    <n v="-0.1425773650488962"/>
    <d v="2026-04-28T12:23:37"/>
    <s v="Oct-24"/>
  </r>
  <r>
    <s v="CUST003"/>
    <s v="Linda Moore"/>
    <s v="North"/>
    <s v="Clothing"/>
    <n v="661.09"/>
    <n v="1"/>
    <n v="0.2"/>
    <x v="80"/>
    <x v="114"/>
    <n v="4.1961003796759912E-2"/>
    <d v="2026-04-28T12:23:37"/>
    <s v="Oct-24"/>
  </r>
  <r>
    <s v="CUST012"/>
    <s v="David Brown"/>
    <s v="West"/>
    <s v="Electronics"/>
    <n v="688.83"/>
    <n v="15"/>
    <n v="0"/>
    <x v="81"/>
    <x v="115"/>
    <n v="0.81336469085260488"/>
    <d v="2026-04-28T12:23:37"/>
    <s v="Oct-24"/>
  </r>
  <r>
    <s v="CUST013"/>
    <s v="Linda Wilson"/>
    <s v="Central"/>
    <s v="Books"/>
    <n v="1249.0999999999999"/>
    <n v="4"/>
    <n v="0.05"/>
    <x v="82"/>
    <x v="116"/>
    <n v="-0.18803938835961884"/>
    <d v="2026-04-28T12:23:37"/>
    <s v="Nov-24"/>
  </r>
  <r>
    <s v="CUST008"/>
    <s v="James Wilson"/>
    <s v="East"/>
    <s v="Office Supplies"/>
    <n v="1014.22"/>
    <n v="14"/>
    <n v="0.05"/>
    <x v="83"/>
    <x v="117"/>
    <n v="-3.5889649188538841E-3"/>
    <d v="2026-04-28T12:23:37"/>
    <s v="Nov-24"/>
  </r>
  <r>
    <s v="CUST025"/>
    <s v="Lisa Davis"/>
    <s v="East"/>
    <s v="Books"/>
    <n v="1010.58"/>
    <n v="2"/>
    <n v="0.15"/>
    <x v="84"/>
    <x v="118"/>
    <n v="-5.2732094440816238E-2"/>
    <d v="2026-04-28T12:23:37"/>
    <s v="Nov-24"/>
  </r>
  <r>
    <s v="CUST026"/>
    <s v="Mary Wilson"/>
    <s v="North"/>
    <s v="Furniture"/>
    <n v="957.29"/>
    <n v="4"/>
    <n v="0.05"/>
    <x v="84"/>
    <x v="119"/>
    <n v="0.12601197129396538"/>
    <d v="2026-04-28T12:23:37"/>
    <s v="Nov-24"/>
  </r>
  <r>
    <s v="CUST001"/>
    <s v="Lisa Thomas"/>
    <s v="North"/>
    <s v="Furniture"/>
    <n v="1077.92"/>
    <n v="3"/>
    <n v="0.05"/>
    <x v="85"/>
    <x v="120"/>
    <n v="7.8939067834347551E-2"/>
    <d v="2026-04-28T12:23:37"/>
    <s v="Nov-24"/>
  </r>
  <r>
    <s v="CUST028"/>
    <s v="Linda Brown"/>
    <s v="South"/>
    <s v="Clothing"/>
    <n v="1163.01"/>
    <n v="5"/>
    <n v="0"/>
    <x v="86"/>
    <x v="121"/>
    <n v="-0.12764292654405382"/>
    <d v="2026-04-28T12:23:37"/>
    <s v="Nov-24"/>
  </r>
  <r>
    <s v="CUST025"/>
    <s v="Lisa Thomas"/>
    <s v="East"/>
    <s v="Office Supplies"/>
    <n v="1014.56"/>
    <n v="10"/>
    <n v="0.1"/>
    <x v="87"/>
    <x v="122"/>
    <n v="-0.29226462703043682"/>
    <d v="2026-04-28T12:23:37"/>
    <s v="Nov-24"/>
  </r>
  <r>
    <s v="CUST019"/>
    <s v="James Taylor"/>
    <s v="South"/>
    <s v="Electronics"/>
    <n v="718.04"/>
    <n v="14"/>
    <n v="0"/>
    <x v="88"/>
    <x v="123"/>
    <n v="0.77963623196479304"/>
    <d v="2026-04-28T12:23:37"/>
    <s v="Nov-24"/>
  </r>
  <r>
    <s v="CUST004"/>
    <s v="James Taylor"/>
    <s v="Central"/>
    <s v="Clothing"/>
    <n v="1277.8499999999999"/>
    <n v="18"/>
    <n v="0.2"/>
    <x v="88"/>
    <x v="124"/>
    <n v="-0.44693821653558707"/>
    <d v="2026-04-28T12:23:37"/>
    <s v="Nov-24"/>
  </r>
  <r>
    <s v="CUST024"/>
    <s v="James Wilson"/>
    <s v="North"/>
    <s v="Electronics"/>
    <n v="706.73"/>
    <n v="1"/>
    <n v="0.15"/>
    <x v="88"/>
    <x v="125"/>
    <n v="0.99593904319895843"/>
    <d v="2026-04-28T12:23:37"/>
    <s v="Nov-24"/>
  </r>
  <r>
    <s v="CUST002"/>
    <s v="Linda Brown"/>
    <s v="East"/>
    <s v="Electronics"/>
    <n v="1410.59"/>
    <n v="15"/>
    <n v="0"/>
    <x v="89"/>
    <x v="126"/>
    <n v="-4.2719713027881946E-2"/>
    <d v="2026-04-28T12:23:37"/>
    <s v="Nov-24"/>
  </r>
  <r>
    <s v="CUST009"/>
    <s v="Emma Wilson"/>
    <s v="South"/>
    <s v="Furniture"/>
    <n v="1350.33"/>
    <n v="10"/>
    <n v="0"/>
    <x v="89"/>
    <x v="127"/>
    <n v="-0.31929232113631484"/>
    <d v="2026-04-28T12:23:37"/>
    <s v="Nov-24"/>
  </r>
  <r>
    <s v="CUST029"/>
    <s v="Lisa Thomas"/>
    <s v="East"/>
    <s v="Electronics"/>
    <n v="919.18"/>
    <n v="4"/>
    <n v="0.15"/>
    <x v="89"/>
    <x v="128"/>
    <n v="-0.71876019930807888"/>
    <d v="2026-04-28T12:23:37"/>
    <s v="Nov-24"/>
  </r>
  <r>
    <s v="CUST027"/>
    <s v="James Wilson"/>
    <s v="West"/>
    <s v="Electronics"/>
    <n v="258.51"/>
    <n v="19"/>
    <n v="0"/>
    <x v="90"/>
    <x v="129"/>
    <n v="3.6941317550578319"/>
    <d v="2026-04-28T12:23:37"/>
    <s v="Nov-24"/>
  </r>
  <r>
    <s v="CUST011"/>
    <s v="Emma Wilson"/>
    <s v="East"/>
    <s v="Books"/>
    <n v="1213.48"/>
    <n v="5"/>
    <n v="0.05"/>
    <x v="90"/>
    <x v="130"/>
    <n v="-5.2081616507894689E-2"/>
    <d v="2026-04-28T12:23:37"/>
    <s v="Nov-24"/>
  </r>
  <r>
    <s v="CUST021"/>
    <s v="Emma Davis"/>
    <s v="Central"/>
    <s v="Books"/>
    <n v="1150.28"/>
    <n v="8"/>
    <n v="0.05"/>
    <x v="91"/>
    <x v="131"/>
    <n v="-0.25769377890600548"/>
    <d v="2026-04-28T12:23:37"/>
    <s v="Nov-24"/>
  </r>
  <r>
    <s v="CUST014"/>
    <s v="David Anderson"/>
    <s v="South"/>
    <s v="Furniture"/>
    <n v="853.86"/>
    <n v="8"/>
    <n v="0.1"/>
    <x v="91"/>
    <x v="132"/>
    <n v="0.24263930855175314"/>
    <d v="2026-04-28T12:23:37"/>
    <s v="Nov-24"/>
  </r>
  <r>
    <s v="CUST018"/>
    <s v="Lisa Thomas"/>
    <s v="South"/>
    <s v="Electronics"/>
    <n v="1061.04"/>
    <n v="1"/>
    <n v="0"/>
    <x v="92"/>
    <x v="133"/>
    <n v="-0.15691208625499511"/>
    <d v="2026-04-28T12:23:37"/>
    <s v="Nov-24"/>
  </r>
  <r>
    <s v="CUST001"/>
    <s v="Sarah Anderson"/>
    <s v="West"/>
    <s v="Electronics"/>
    <n v="894.55"/>
    <n v="19"/>
    <n v="0.2"/>
    <x v="93"/>
    <x v="134"/>
    <n v="-6.778827343356994E-2"/>
    <d v="2026-04-28T12:23:37"/>
    <s v="Nov-24"/>
  </r>
  <r>
    <s v="CUST007"/>
    <s v="Emma Davis"/>
    <s v="North"/>
    <s v="Office Supplies"/>
    <n v="833.91"/>
    <n v="3"/>
    <n v="0.05"/>
    <x v="94"/>
    <x v="135"/>
    <n v="-1.6452614790564826E-2"/>
    <d v="2026-04-28T12:23:37"/>
    <s v="Nov-24"/>
  </r>
  <r>
    <s v="CUST015"/>
    <s v="David Anderson"/>
    <s v="West"/>
    <s v="Furniture"/>
    <n v="820.19"/>
    <n v="4"/>
    <n v="0.2"/>
    <x v="95"/>
    <x v="136"/>
    <n v="-0.37607139809068635"/>
    <d v="2026-04-28T12:23:37"/>
    <s v="Dec-24"/>
  </r>
  <r>
    <s v="CUST015"/>
    <s v="Emma Davis"/>
    <s v="Central"/>
    <s v="Electronics"/>
    <n v="511.74"/>
    <n v="8"/>
    <n v="0.05"/>
    <x v="96"/>
    <x v="137"/>
    <n v="0.57507718763434545"/>
    <d v="2026-04-28T12:23:37"/>
    <s v="Dec-24"/>
  </r>
  <r>
    <s v="CUST002"/>
    <s v="Emma Wilson"/>
    <s v="South"/>
    <s v="Furniture"/>
    <n v="806.03"/>
    <n v="19"/>
    <n v="0.05"/>
    <x v="97"/>
    <x v="138"/>
    <n v="0.77719191593365022"/>
    <d v="2026-04-28T12:23:37"/>
    <s v="Dec-24"/>
  </r>
  <r>
    <s v="CUST001"/>
    <s v="Michael Anderson"/>
    <s v="Central"/>
    <s v="Furniture"/>
    <n v="1432.47"/>
    <n v="16"/>
    <n v="0.15"/>
    <x v="98"/>
    <x v="139"/>
    <n v="3.9170104784044271E-2"/>
    <d v="2026-04-28T12:23:37"/>
    <s v="Dec-24"/>
  </r>
  <r>
    <s v="CUST027"/>
    <s v="Linda Wilson"/>
    <s v="Central"/>
    <s v="Electronics"/>
    <n v="1488.58"/>
    <n v="10"/>
    <n v="0.15"/>
    <x v="98"/>
    <x v="140"/>
    <n v="-0.17286272823764928"/>
    <d v="2026-04-28T12:23:37"/>
    <s v="Dec-24"/>
  </r>
  <r>
    <s v="CUST026"/>
    <s v="Emma Taylor"/>
    <s v="East"/>
    <s v="Books"/>
    <n v="1231.26"/>
    <n v="9"/>
    <n v="0"/>
    <x v="99"/>
    <x v="141"/>
    <n v="-5.651933791400672E-2"/>
    <d v="2026-04-28T12:23:37"/>
    <s v="Dec-24"/>
  </r>
  <r>
    <s v="CUST026"/>
    <s v="Sarah Anderson"/>
    <s v="West"/>
    <s v="Electronics"/>
    <n v="1161.67"/>
    <n v="19"/>
    <n v="0.2"/>
    <x v="100"/>
    <x v="142"/>
    <n v="-0.66580009813458207"/>
    <d v="2026-04-28T12:23:37"/>
    <s v="Dec-24"/>
  </r>
  <r>
    <s v="CUST022"/>
    <s v="Lisa Thomas"/>
    <s v="Central"/>
    <s v="Office Supplies"/>
    <n v="388.23"/>
    <n v="16"/>
    <n v="0.05"/>
    <x v="101"/>
    <x v="143"/>
    <n v="3.0940164335574272"/>
    <d v="2026-04-28T12:23:37"/>
    <s v="Dec-24"/>
  </r>
  <r>
    <s v="CUST004"/>
    <s v="Mary Davis"/>
    <s v="North"/>
    <s v="Clothing"/>
    <n v="1589.42"/>
    <n v="6"/>
    <n v="0.15"/>
    <x v="102"/>
    <x v="144"/>
    <n v="-0.78818688578223495"/>
    <d v="2026-04-28T12:23:37"/>
    <s v="Dec-24"/>
  </r>
  <r>
    <s v="CUST001"/>
    <s v="David Anderson"/>
    <s v="North"/>
    <s v="Clothing"/>
    <n v="336.66"/>
    <n v="13"/>
    <n v="0.2"/>
    <x v="102"/>
    <x v="145"/>
    <n v="3.0212380443177085"/>
    <d v="2026-04-28T12:23:37"/>
    <s v="Dec-24"/>
  </r>
  <r>
    <s v="CUST022"/>
    <s v="James Wilson"/>
    <s v="West"/>
    <s v="Books"/>
    <n v="1353.79"/>
    <n v="14"/>
    <n v="0.1"/>
    <x v="103"/>
    <x v="146"/>
    <n v="-0.51055185811684234"/>
    <d v="2026-04-28T12:23:37"/>
    <s v="Dec-24"/>
  </r>
  <r>
    <s v="CUST011"/>
    <s v="Linda Moore"/>
    <s v="Central"/>
    <s v="Clothing"/>
    <n v="662.61"/>
    <n v="11"/>
    <n v="0.05"/>
    <x v="104"/>
    <x v="147"/>
    <n v="-0.53302847829039701"/>
    <d v="2026-04-28T12:23:37"/>
    <s v="Jan-25"/>
  </r>
  <r>
    <s v="CUST028"/>
    <s v="Lisa Davis"/>
    <s v="North"/>
    <s v="Office Supplies"/>
    <n v="309.42"/>
    <n v="1"/>
    <n v="0.2"/>
    <x v="104"/>
    <x v="148"/>
    <n v="1.8589942473014027"/>
    <d v="2026-04-28T12:23:37"/>
    <s v="Jan-25"/>
  </r>
  <r>
    <s v="CUST011"/>
    <s v="Linda Wilson"/>
    <s v="North"/>
    <s v="Books"/>
    <n v="884.63"/>
    <n v="18"/>
    <n v="0.1"/>
    <x v="105"/>
    <x v="149"/>
    <n v="-0.15778348009902449"/>
    <d v="2026-04-28T12:23:37"/>
    <s v="Jan-25"/>
  </r>
  <r>
    <s v="CUST028"/>
    <s v="James Wilson"/>
    <s v="Central"/>
    <s v="Office Supplies"/>
    <n v="745.05"/>
    <n v="10"/>
    <n v="0.1"/>
    <x v="106"/>
    <x v="150"/>
    <n v="0.16801556942487092"/>
    <d v="2026-04-28T12:23:37"/>
    <s v="Jan-25"/>
  </r>
  <r>
    <s v="CUST016"/>
    <s v="James Taylor"/>
    <s v="South"/>
    <s v="Clothing"/>
    <n v="870.23"/>
    <n v="5"/>
    <n v="0.05"/>
    <x v="106"/>
    <x v="151"/>
    <n v="-9.2389368327912887E-3"/>
    <d v="2026-04-28T12:23:37"/>
    <s v="Jan-25"/>
  </r>
  <r>
    <s v="CUST010"/>
    <s v="Linda Wilson"/>
    <s v="West"/>
    <s v="Furniture"/>
    <n v="862.19"/>
    <n v="18"/>
    <n v="0.05"/>
    <x v="107"/>
    <x v="152"/>
    <n v="0.3583780837170461"/>
    <d v="2026-04-28T12:23:37"/>
    <s v="Jan-25"/>
  </r>
  <r>
    <s v="CUST013"/>
    <s v="Mary Wilson"/>
    <s v="North"/>
    <s v="Clothing"/>
    <n v="1171.18"/>
    <n v="19"/>
    <n v="0.05"/>
    <x v="108"/>
    <x v="153"/>
    <n v="-9.9574787820830374E-2"/>
    <d v="2026-04-28T12:23:37"/>
    <s v="Jan-25"/>
  </r>
  <r>
    <s v="CUST015"/>
    <s v="Robert Anderson"/>
    <s v="South"/>
    <s v="Furniture"/>
    <n v="1054.56"/>
    <n v="11"/>
    <n v="0.1"/>
    <x v="109"/>
    <x v="154"/>
    <n v="0.59422887270520419"/>
    <d v="2026-04-28T12:23:37"/>
    <s v="Jan-25"/>
  </r>
  <r>
    <s v="CUST015"/>
    <s v="James Wilson"/>
    <s v="North"/>
    <s v="Electronics"/>
    <n v="1681.21"/>
    <n v="5"/>
    <n v="0.2"/>
    <x v="110"/>
    <x v="155"/>
    <n v="-0.77410912378584473"/>
    <d v="2026-04-28T12:23:37"/>
    <s v="Jan-25"/>
  </r>
  <r>
    <s v="CUST015"/>
    <s v="David Thomas"/>
    <s v="West"/>
    <s v="Clothing"/>
    <n v="379.77"/>
    <n v="9"/>
    <n v="0.05"/>
    <x v="111"/>
    <x v="156"/>
    <n v="1.8341627827369196"/>
    <d v="2026-04-28T12:23:37"/>
    <s v="Jan-25"/>
  </r>
  <r>
    <s v="CUST008"/>
    <s v="Lisa Thomas"/>
    <s v="Central"/>
    <s v="Clothing"/>
    <n v="1076.33"/>
    <n v="2"/>
    <n v="0.1"/>
    <x v="112"/>
    <x v="157"/>
    <n v="0.16201350886809818"/>
    <d v="2026-04-28T12:23:37"/>
    <s v="Jan-25"/>
  </r>
  <r>
    <s v="CUST008"/>
    <s v="Mary Davis"/>
    <s v="Central"/>
    <s v="Office Supplies"/>
    <n v="1250.71"/>
    <n v="7"/>
    <n v="0"/>
    <x v="112"/>
    <x v="158"/>
    <n v="-0.10583588521719672"/>
    <d v="2026-04-28T12:23:37"/>
    <s v="Jan-25"/>
  </r>
  <r>
    <s v="CUST023"/>
    <s v="James Taylor"/>
    <s v="South"/>
    <s v="Clothing"/>
    <n v="1118.3399999999999"/>
    <n v="6"/>
    <n v="0.2"/>
    <x v="112"/>
    <x v="159"/>
    <n v="0.45091832537510956"/>
    <d v="2026-04-28T12:23:37"/>
    <s v="Jan-25"/>
  </r>
  <r>
    <s v="CUST024"/>
    <s v="Linda Taylor"/>
    <s v="North"/>
    <s v="Clothing"/>
    <n v="1622.62"/>
    <n v="12"/>
    <n v="0.2"/>
    <x v="113"/>
    <x v="160"/>
    <n v="-0.60518174310682726"/>
    <d v="2026-04-28T12:23:37"/>
    <s v="Jan-25"/>
  </r>
  <r>
    <s v="CUST018"/>
    <s v="Lisa Davis"/>
    <s v="North"/>
    <s v="Books"/>
    <n v="640.64"/>
    <n v="11"/>
    <n v="0.2"/>
    <x v="114"/>
    <x v="161"/>
    <n v="-8.6600899100899131E-2"/>
    <d v="2026-04-28T12:23:37"/>
    <s v="Jan-25"/>
  </r>
  <r>
    <s v="CUST030"/>
    <s v="Sarah Anderson"/>
    <s v="West"/>
    <s v="Clothing"/>
    <n v="585.16"/>
    <n v="17"/>
    <n v="0.1"/>
    <x v="115"/>
    <x v="162"/>
    <n v="0.8968829038211773"/>
    <d v="2026-04-28T12:23:37"/>
    <s v="Jan-25"/>
  </r>
  <r>
    <s v="CUST030"/>
    <s v="Mary Davis"/>
    <s v="East"/>
    <s v="Clothing"/>
    <n v="1109.98"/>
    <n v="5"/>
    <n v="0.2"/>
    <x v="116"/>
    <x v="163"/>
    <n v="-1.0720913890340448E-2"/>
    <d v="2026-04-28T12:23:37"/>
    <s v="Feb-25"/>
  </r>
  <r>
    <s v="CUST015"/>
    <s v="Lisa Thomas"/>
    <s v="East"/>
    <s v="Books"/>
    <n v="1098.08"/>
    <n v="9"/>
    <n v="0.1"/>
    <x v="117"/>
    <x v="164"/>
    <n v="-0.24663958910097619"/>
    <d v="2026-04-28T12:23:37"/>
    <s v="Feb-25"/>
  </r>
  <r>
    <s v="CUST002"/>
    <s v="Lisa Davis"/>
    <s v="West"/>
    <s v="Office Supplies"/>
    <n v="827.25"/>
    <n v="7"/>
    <n v="0.1"/>
    <x v="118"/>
    <x v="165"/>
    <n v="-0.10319734058627984"/>
    <d v="2026-04-28T12:23:37"/>
    <s v="Feb-25"/>
  </r>
  <r>
    <s v="CUST024"/>
    <s v="Linda Wilson"/>
    <s v="Central"/>
    <s v="Clothing"/>
    <n v="741.88"/>
    <n v="16"/>
    <n v="0.1"/>
    <x v="119"/>
    <x v="166"/>
    <n v="0.76748261174313903"/>
    <d v="2026-04-28T12:23:37"/>
    <s v="Feb-25"/>
  </r>
  <r>
    <s v="CUST004"/>
    <s v="James Davis"/>
    <s v="East"/>
    <s v="Office Supplies"/>
    <n v="1311.26"/>
    <n v="6"/>
    <n v="0.1"/>
    <x v="120"/>
    <x v="167"/>
    <n v="-0.56277168524930221"/>
    <d v="2026-04-28T12:23:37"/>
    <s v="Feb-25"/>
  </r>
  <r>
    <s v="CUST004"/>
    <s v="Mary Davis"/>
    <s v="South"/>
    <s v="Office Supplies"/>
    <n v="573.32000000000005"/>
    <n v="19"/>
    <n v="0.1"/>
    <x v="121"/>
    <x v="168"/>
    <n v="0.94519639991627702"/>
    <d v="2026-04-28T12:23:37"/>
    <s v="Feb-25"/>
  </r>
  <r>
    <s v="CUST028"/>
    <s v="James Wilson"/>
    <s v="West"/>
    <s v="Electronics"/>
    <n v="1115.22"/>
    <n v="14"/>
    <n v="0.2"/>
    <x v="122"/>
    <x v="169"/>
    <n v="-0.24154875271246928"/>
    <d v="2026-04-28T12:23:37"/>
    <s v="Feb-25"/>
  </r>
  <r>
    <s v="CUST012"/>
    <s v="Lisa Thomas"/>
    <s v="North"/>
    <s v="Clothing"/>
    <n v="845.84"/>
    <n v="4"/>
    <n v="0"/>
    <x v="123"/>
    <x v="170"/>
    <n v="0.21748794098174587"/>
    <d v="2026-04-28T12:23:37"/>
    <s v="Feb-25"/>
  </r>
  <r>
    <s v="CUST026"/>
    <s v="David Brown"/>
    <s v="West"/>
    <s v="Electronics"/>
    <n v="1029.8"/>
    <n v="3"/>
    <n v="0"/>
    <x v="124"/>
    <x v="171"/>
    <n v="0.15539910662264517"/>
    <d v="2026-04-28T12:23:37"/>
    <s v="Feb-25"/>
  </r>
  <r>
    <s v="CUST009"/>
    <s v="Mary Davis"/>
    <s v="North"/>
    <s v="Books"/>
    <n v="1189.83"/>
    <n v="2"/>
    <n v="0.2"/>
    <x v="125"/>
    <x v="172"/>
    <n v="-0.40808350772799473"/>
    <d v="2026-04-28T12:23:37"/>
    <s v="Feb-25"/>
  </r>
  <r>
    <s v="CUST003"/>
    <s v="Sarah Anderson"/>
    <s v="South"/>
    <s v="Books"/>
    <n v="704.28"/>
    <n v="15"/>
    <n v="0.2"/>
    <x v="126"/>
    <x v="173"/>
    <n v="1.2976940989379226"/>
    <d v="2026-04-28T12:23:37"/>
    <s v="Feb-25"/>
  </r>
  <r>
    <s v="CUST002"/>
    <s v="Mary Jackson"/>
    <s v="Central"/>
    <s v="Office Supplies"/>
    <n v="1618.22"/>
    <n v="12"/>
    <n v="0.2"/>
    <x v="126"/>
    <x v="174"/>
    <n v="-0.37311984773392992"/>
    <d v="2026-04-28T12:23:37"/>
    <s v="Feb-25"/>
  </r>
  <r>
    <s v="CUST013"/>
    <s v="Linda Taylor"/>
    <s v="Central"/>
    <s v="Books"/>
    <n v="1014.43"/>
    <n v="2"/>
    <n v="0.15"/>
    <x v="127"/>
    <x v="175"/>
    <n v="-0.1847934307936476"/>
    <d v="2026-04-28T12:23:37"/>
    <s v="Feb-25"/>
  </r>
  <r>
    <s v="CUST018"/>
    <s v="Mary Davis"/>
    <s v="Central"/>
    <s v="Clothing"/>
    <n v="826.97"/>
    <n v="18"/>
    <n v="0.2"/>
    <x v="128"/>
    <x v="176"/>
    <n v="0.23611497394101355"/>
    <d v="2026-04-28T12:23:37"/>
    <s v="Feb-25"/>
  </r>
  <r>
    <s v="CUST017"/>
    <s v="Mary Davis"/>
    <s v="Central"/>
    <s v="Clothing"/>
    <n v="1022.23"/>
    <n v="8"/>
    <n v="0.1"/>
    <x v="129"/>
    <x v="177"/>
    <n v="7.5775510403725224E-2"/>
    <d v="2026-04-28T12:23:37"/>
    <s v="Mar-25"/>
  </r>
  <r>
    <s v="CUST004"/>
    <s v="Linda Wilson"/>
    <s v="East"/>
    <s v="Books"/>
    <n v="1099.69"/>
    <n v="6"/>
    <n v="0"/>
    <x v="130"/>
    <x v="178"/>
    <n v="-0.35389064190817415"/>
    <d v="2026-04-28T12:23:37"/>
    <s v="Mar-25"/>
  </r>
  <r>
    <s v="CUST028"/>
    <s v="Sarah Davis"/>
    <s v="North"/>
    <s v="Books"/>
    <n v="710.52"/>
    <n v="8"/>
    <n v="0.1"/>
    <x v="131"/>
    <x v="179"/>
    <n v="-0.29744412542926307"/>
    <d v="2026-04-28T12:23:37"/>
    <s v="Mar-25"/>
  </r>
  <r>
    <s v="CUST028"/>
    <s v="Mary Wilson"/>
    <s v="North"/>
    <s v="Books"/>
    <n v="499.18"/>
    <n v="15"/>
    <n v="0.2"/>
    <x v="132"/>
    <x v="180"/>
    <n v="1.1318762770944348"/>
    <d v="2026-04-28T12:23:37"/>
    <s v="Mar-25"/>
  </r>
  <r>
    <s v="CUST014"/>
    <s v="Emma Davis"/>
    <s v="South"/>
    <s v="Books"/>
    <n v="1064.19"/>
    <n v="18"/>
    <n v="0.05"/>
    <x v="133"/>
    <x v="181"/>
    <n v="-0.58770520301825802"/>
    <d v="2026-04-28T12:23:37"/>
    <s v="Mar-25"/>
  </r>
  <r>
    <s v="CUST003"/>
    <s v="Emma Davis"/>
    <s v="East"/>
    <s v="Office Supplies"/>
    <n v="438.76"/>
    <n v="18"/>
    <n v="0.05"/>
    <x v="134"/>
    <x v="182"/>
    <n v="0.97141945482724046"/>
    <d v="2026-04-28T12:23:37"/>
    <s v="Mar-25"/>
  </r>
  <r>
    <s v="CUST029"/>
    <s v="David Brown"/>
    <s v="West"/>
    <s v="Clothing"/>
    <n v="864.98"/>
    <n v="2"/>
    <n v="0.05"/>
    <x v="135"/>
    <x v="183"/>
    <n v="0.13867372656015159"/>
    <d v="2026-04-28T12:23:37"/>
    <s v="Mar-25"/>
  </r>
  <r>
    <s v="CUST021"/>
    <s v="David Brown"/>
    <s v="West"/>
    <s v="Furniture"/>
    <n v="984.93"/>
    <n v="14"/>
    <n v="0.2"/>
    <x v="136"/>
    <x v="184"/>
    <n v="0.51634126283086113"/>
    <d v="2026-04-28T12:23:37"/>
    <s v="Mar-25"/>
  </r>
  <r>
    <s v="CUST007"/>
    <s v="David Brown"/>
    <s v="West"/>
    <s v="Clothing"/>
    <n v="1493.49"/>
    <n v="18"/>
    <n v="0"/>
    <x v="137"/>
    <x v="185"/>
    <n v="-0.53837655424542519"/>
    <d v="2026-04-28T12:23:37"/>
    <s v="Mar-25"/>
  </r>
  <r>
    <s v="CUST009"/>
    <s v="Linda Taylor"/>
    <s v="South"/>
    <s v="Clothing"/>
    <n v="689.43"/>
    <n v="9"/>
    <n v="0.1"/>
    <x v="138"/>
    <x v="186"/>
    <n v="-1.0428905037494657E-2"/>
    <d v="2026-04-28T12:23:37"/>
    <s v="Mar-25"/>
  </r>
  <r>
    <s v="CUST023"/>
    <s v="Mary Wilson"/>
    <s v="South"/>
    <s v="Clothing"/>
    <n v="682.24"/>
    <n v="1"/>
    <n v="0"/>
    <x v="139"/>
    <x v="187"/>
    <n v="-0.32789047842401498"/>
    <d v="2026-04-28T12:23:37"/>
    <s v="Mar-25"/>
  </r>
  <r>
    <s v="CUST029"/>
    <s v="Michael Anderson"/>
    <s v="North"/>
    <s v="Electronics"/>
    <n v="458.54"/>
    <n v="15"/>
    <n v="0.2"/>
    <x v="140"/>
    <x v="188"/>
    <n v="1.5826536398133206"/>
    <d v="2026-04-28T12:23:37"/>
    <s v="Mar-25"/>
  </r>
  <r>
    <s v="CUST009"/>
    <s v="Michael Anderson"/>
    <s v="South"/>
    <s v="Furniture"/>
    <n v="1184.25"/>
    <n v="11"/>
    <n v="0.2"/>
    <x v="141"/>
    <x v="189"/>
    <n v="-0.35643656322567024"/>
    <d v="2026-04-28T12:23:37"/>
    <s v="Mar-25"/>
  </r>
  <r>
    <s v="CUST007"/>
    <s v="James Davis"/>
    <s v="South"/>
    <s v="Clothing"/>
    <n v="762.14"/>
    <n v="9"/>
    <n v="0"/>
    <x v="142"/>
    <x v="190"/>
    <n v="-1.4997244600729459E-2"/>
    <d v="2026-04-28T12:23:37"/>
    <s v="Mar-25"/>
  </r>
  <r>
    <s v="CUST030"/>
    <s v="Linda Taylor"/>
    <s v="North"/>
    <s v="Books"/>
    <n v="750.71"/>
    <n v="10"/>
    <n v="0.15"/>
    <x v="142"/>
    <x v="191"/>
    <n v="0.94074942387872806"/>
    <d v="2026-04-28T12:23:37"/>
    <s v="Mar-25"/>
  </r>
  <r>
    <s v="CUST018"/>
    <s v="David Anderson"/>
    <s v="Central"/>
    <s v="Clothing"/>
    <n v="1456.94"/>
    <n v="14"/>
    <n v="0.05"/>
    <x v="143"/>
    <x v="192"/>
    <n v="-0.24953670020728372"/>
    <d v="2026-04-28T12:23:37"/>
    <s v="Mar-25"/>
  </r>
  <r>
    <s v="CUST008"/>
    <s v="Emma Wilson"/>
    <s v="East"/>
    <s v="Furniture"/>
    <n v="1093.3800000000001"/>
    <n v="17"/>
    <n v="0.1"/>
    <x v="143"/>
    <x v="193"/>
    <n v="-0.14552122775247409"/>
    <d v="2026-04-28T12:23:37"/>
    <s v="Mar-25"/>
  </r>
  <r>
    <s v="CUST014"/>
    <s v="Sarah Anderson"/>
    <s v="West"/>
    <s v="Clothing"/>
    <n v="934.27"/>
    <n v="8"/>
    <n v="0.15"/>
    <x v="144"/>
    <x v="194"/>
    <n v="0.56844381174606906"/>
    <d v="2026-04-28T12:23:37"/>
    <s v="Mar-25"/>
  </r>
  <r>
    <s v="CUST024"/>
    <s v="David Thomas"/>
    <s v="Central"/>
    <s v="Clothing"/>
    <n v="1465.35"/>
    <n v="8"/>
    <n v="0.2"/>
    <x v="144"/>
    <x v="195"/>
    <n v="-0.49445524959907189"/>
    <d v="2026-04-28T12:23:37"/>
    <s v="Mar-25"/>
  </r>
  <r>
    <s v="CUST028"/>
    <s v="Robert Anderson"/>
    <s v="South"/>
    <s v="Office Supplies"/>
    <n v="740.8"/>
    <n v="3"/>
    <n v="0"/>
    <x v="145"/>
    <x v="196"/>
    <n v="-0.26371490280777526"/>
    <d v="2026-04-28T12:23:37"/>
    <s v="Apr-25"/>
  </r>
  <r>
    <s v="CUST015"/>
    <s v="Sarah Anderson"/>
    <s v="West"/>
    <s v="Office Supplies"/>
    <n v="545.44000000000005"/>
    <n v="17"/>
    <n v="0"/>
    <x v="146"/>
    <x v="197"/>
    <n v="0.82900044001173345"/>
    <d v="2026-04-28T12:23:37"/>
    <s v="Apr-25"/>
  </r>
  <r>
    <s v="CUST010"/>
    <s v="David Thomas"/>
    <s v="East"/>
    <s v="Books"/>
    <n v="997.61"/>
    <n v="8"/>
    <n v="0.05"/>
    <x v="146"/>
    <x v="198"/>
    <n v="-6.9455999839616644E-2"/>
    <d v="2026-04-28T12:23:37"/>
    <s v="Apr-25"/>
  </r>
  <r>
    <s v="CUST016"/>
    <s v="David Thomas"/>
    <s v="South"/>
    <s v="Clothing"/>
    <n v="928.32"/>
    <n v="2"/>
    <n v="0.05"/>
    <x v="147"/>
    <x v="199"/>
    <n v="-1"/>
    <d v="2026-04-28T12:23:37"/>
    <s v="Apr-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33DD2D-E3A5-4E75-8291-D5493FE1CCAC}" name="sum of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10" firstHeaderRow="1" firstDataRow="2" firstDataCol="1"/>
  <pivotFields count="11">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pivotField showAll="0"/>
    <pivotField numFmtId="165" showAll="0"/>
    <pivotField numFmtId="166"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15">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6" format="15" series="1">
      <pivotArea type="data" outline="0" fieldPosition="0">
        <references count="2">
          <reference field="4294967294" count="1" selected="0">
            <x v="0"/>
          </reference>
          <reference field="3" count="1" selected="0">
            <x v="0"/>
          </reference>
        </references>
      </pivotArea>
    </chartFormat>
    <chartFormat chart="6" format="16" series="1">
      <pivotArea type="data" outline="0" fieldPosition="0">
        <references count="2">
          <reference field="4294967294" count="1" selected="0">
            <x v="0"/>
          </reference>
          <reference field="3" count="1" selected="0">
            <x v="1"/>
          </reference>
        </references>
      </pivotArea>
    </chartFormat>
    <chartFormat chart="6" format="17" series="1">
      <pivotArea type="data" outline="0" fieldPosition="0">
        <references count="2">
          <reference field="4294967294" count="1" selected="0">
            <x v="0"/>
          </reference>
          <reference field="3" count="1" selected="0">
            <x v="2"/>
          </reference>
        </references>
      </pivotArea>
    </chartFormat>
    <chartFormat chart="6" format="18" series="1">
      <pivotArea type="data" outline="0" fieldPosition="0">
        <references count="2">
          <reference field="4294967294" count="1" selected="0">
            <x v="0"/>
          </reference>
          <reference field="3" count="1" selected="0">
            <x v="3"/>
          </reference>
        </references>
      </pivotArea>
    </chartFormat>
    <chartFormat chart="6" format="1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20D8D-1085-4A0F-84CB-4FB8C5561842}" name="TIme Lin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52:C58" firstHeaderRow="1" firstDataRow="2" firstDataCol="1"/>
  <pivotFields count="14">
    <pivotField showAll="0"/>
    <pivotField showAll="0"/>
    <pivotField showAll="0"/>
    <pivotField showAll="0"/>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items count="201">
        <item x="129"/>
        <item x="21"/>
        <item x="188"/>
        <item x="148"/>
        <item x="72"/>
        <item x="137"/>
        <item x="145"/>
        <item x="70"/>
        <item x="57"/>
        <item x="125"/>
        <item x="35"/>
        <item x="14"/>
        <item x="180"/>
        <item x="29"/>
        <item x="19"/>
        <item x="3"/>
        <item x="143"/>
        <item x="115"/>
        <item x="77"/>
        <item x="54"/>
        <item x="49"/>
        <item x="23"/>
        <item x="82"/>
        <item x="134"/>
        <item x="123"/>
        <item x="156"/>
        <item x="182"/>
        <item x="8"/>
        <item x="113"/>
        <item x="128"/>
        <item x="39"/>
        <item x="63"/>
        <item x="102"/>
        <item x="17"/>
        <item x="161"/>
        <item x="100"/>
        <item x="42"/>
        <item x="45"/>
        <item x="33"/>
        <item x="61"/>
        <item x="169"/>
        <item x="173"/>
        <item x="91"/>
        <item x="136"/>
        <item x="38"/>
        <item x="103"/>
        <item x="93"/>
        <item x="168"/>
        <item x="142"/>
        <item x="26"/>
        <item x="68"/>
        <item x="50"/>
        <item x="197"/>
        <item x="32"/>
        <item x="191"/>
        <item x="179"/>
        <item x="55"/>
        <item x="73"/>
        <item x="171"/>
        <item x="75"/>
        <item x="64"/>
        <item x="162"/>
        <item x="114"/>
        <item x="133"/>
        <item x="138"/>
        <item x="132"/>
        <item x="4"/>
        <item x="80"/>
        <item x="13"/>
        <item x="184"/>
        <item x="2"/>
        <item x="152"/>
        <item x="25"/>
        <item x="62"/>
        <item x="22"/>
        <item x="98"/>
        <item x="16"/>
        <item x="15"/>
        <item x="7"/>
        <item x="150"/>
        <item x="43"/>
        <item x="5"/>
        <item x="74"/>
        <item x="86"/>
        <item x="105"/>
        <item x="65"/>
        <item x="186"/>
        <item x="6"/>
        <item x="111"/>
        <item x="147"/>
        <item x="140"/>
        <item x="119"/>
        <item x="149"/>
        <item x="30"/>
        <item x="108"/>
        <item x="94"/>
        <item x="176"/>
        <item x="0"/>
        <item x="189"/>
        <item x="154"/>
        <item x="48"/>
        <item x="66"/>
        <item x="196"/>
        <item x="166"/>
        <item x="85"/>
        <item x="92"/>
        <item x="165"/>
        <item x="155"/>
        <item x="53"/>
        <item x="187"/>
        <item x="118"/>
        <item x="69"/>
        <item x="193"/>
        <item x="175"/>
        <item x="90"/>
        <item x="96"/>
        <item x="9"/>
        <item x="126"/>
        <item x="110"/>
        <item x="112"/>
        <item x="135"/>
        <item x="27"/>
        <item x="120"/>
        <item x="36"/>
        <item x="44"/>
        <item x="95"/>
        <item x="106"/>
        <item x="41"/>
        <item x="24"/>
        <item x="198"/>
        <item x="52"/>
        <item x="172"/>
        <item x="190"/>
        <item x="31"/>
        <item x="56"/>
        <item x="164"/>
        <item x="194"/>
        <item x="28"/>
        <item x="81"/>
        <item x="181"/>
        <item x="83"/>
        <item x="183"/>
        <item x="122"/>
        <item x="151"/>
        <item x="40"/>
        <item x="170"/>
        <item x="139"/>
        <item x="117"/>
        <item x="131"/>
        <item x="178"/>
        <item x="1"/>
        <item x="199"/>
        <item x="76"/>
        <item x="88"/>
        <item x="71"/>
        <item x="163"/>
        <item x="101"/>
        <item x="159"/>
        <item x="58"/>
        <item x="104"/>
        <item x="47"/>
        <item x="99"/>
        <item x="12"/>
        <item x="67"/>
        <item x="11"/>
        <item x="177"/>
        <item x="130"/>
        <item x="46"/>
        <item x="37"/>
        <item x="127"/>
        <item x="116"/>
        <item x="20"/>
        <item x="89"/>
        <item x="18"/>
        <item x="157"/>
        <item x="146"/>
        <item x="141"/>
        <item x="60"/>
        <item x="78"/>
        <item x="124"/>
        <item x="34"/>
        <item x="84"/>
        <item x="167"/>
        <item x="97"/>
        <item x="51"/>
        <item x="109"/>
        <item x="153"/>
        <item x="158"/>
        <item x="79"/>
        <item x="121"/>
        <item x="174"/>
        <item x="195"/>
        <item x="160"/>
        <item x="87"/>
        <item x="10"/>
        <item x="144"/>
        <item x="59"/>
        <item x="192"/>
        <item x="185"/>
        <item x="107"/>
        <item t="default"/>
      </items>
    </pivotField>
    <pivotField numFmtId="165" showAll="0"/>
    <pivotField numFmtId="166" showAll="0"/>
    <pivotField showAll="0"/>
    <pivotField axis="axisRow" showAll="0">
      <items count="15">
        <item x="0"/>
        <item x="1"/>
        <item x="2"/>
        <item x="3"/>
        <item x="4"/>
        <item x="5"/>
        <item x="6"/>
        <item x="7"/>
        <item x="8"/>
        <item x="9"/>
        <item x="10"/>
        <item x="11"/>
        <item x="12"/>
        <item x="13"/>
        <item t="default"/>
      </items>
    </pivotField>
    <pivotField axis="axisCol" showAll="0">
      <items count="5">
        <item x="0"/>
        <item x="1"/>
        <item x="2"/>
        <item x="3"/>
        <item t="default"/>
      </items>
    </pivotField>
  </pivotFields>
  <rowFields count="1">
    <field x="12"/>
  </rowFields>
  <rowItems count="5">
    <i>
      <x v="1"/>
    </i>
    <i>
      <x v="2"/>
    </i>
    <i>
      <x v="3"/>
    </i>
    <i>
      <x v="4"/>
    </i>
    <i t="grand">
      <x/>
    </i>
  </rowItems>
  <colFields count="1">
    <field x="13"/>
  </colFields>
  <colItems count="2">
    <i>
      <x v="2"/>
    </i>
    <i t="grand">
      <x/>
    </i>
  </colItems>
  <dataFields count="1">
    <dataField name="Sum of Profit" fld="8" baseField="0" baseItem="0"/>
  </dataFields>
  <chartFormats count="29">
    <chartFormat chart="0" format="600" series="1">
      <pivotArea type="data" outline="0" fieldPosition="0">
        <references count="1">
          <reference field="4294967294" count="1" selected="0">
            <x v="0"/>
          </reference>
        </references>
      </pivotArea>
    </chartFormat>
    <chartFormat chart="0" format="601" series="1">
      <pivotArea type="data" outline="0" fieldPosition="0">
        <references count="2">
          <reference field="4294967294" count="1" selected="0">
            <x v="0"/>
          </reference>
          <reference field="13" count="1" selected="0">
            <x v="2"/>
          </reference>
        </references>
      </pivotArea>
    </chartFormat>
    <chartFormat chart="0" format="602" series="1">
      <pivotArea type="data" outline="0" fieldPosition="0">
        <references count="3">
          <reference field="4294967294" count="1" selected="0">
            <x v="0"/>
          </reference>
          <reference field="12" count="1" selected="0">
            <x v="3"/>
          </reference>
          <reference field="13" count="1" selected="0">
            <x v="2"/>
          </reference>
        </references>
      </pivotArea>
    </chartFormat>
    <chartFormat chart="0" format="603" series="1">
      <pivotArea type="data" outline="0" fieldPosition="0">
        <references count="3">
          <reference field="4294967294" count="1" selected="0">
            <x v="0"/>
          </reference>
          <reference field="12" count="1" selected="0">
            <x v="4"/>
          </reference>
          <reference field="13" count="1" selected="0">
            <x v="1"/>
          </reference>
        </references>
      </pivotArea>
    </chartFormat>
    <chartFormat chart="0" format="604" series="1">
      <pivotArea type="data" outline="0" fieldPosition="0">
        <references count="3">
          <reference field="4294967294" count="1" selected="0">
            <x v="0"/>
          </reference>
          <reference field="12" count="1" selected="0">
            <x v="4"/>
          </reference>
          <reference field="13" count="1" selected="0">
            <x v="2"/>
          </reference>
        </references>
      </pivotArea>
    </chartFormat>
    <chartFormat chart="0" format="605" series="1">
      <pivotArea type="data" outline="0" fieldPosition="0">
        <references count="3">
          <reference field="4294967294" count="1" selected="0">
            <x v="0"/>
          </reference>
          <reference field="12" count="1" selected="0">
            <x v="5"/>
          </reference>
          <reference field="13" count="1" selected="0">
            <x v="1"/>
          </reference>
        </references>
      </pivotArea>
    </chartFormat>
    <chartFormat chart="0" format="606" series="1">
      <pivotArea type="data" outline="0" fieldPosition="0">
        <references count="3">
          <reference field="4294967294" count="1" selected="0">
            <x v="0"/>
          </reference>
          <reference field="12" count="1" selected="0">
            <x v="6"/>
          </reference>
          <reference field="13" count="1" selected="0">
            <x v="1"/>
          </reference>
        </references>
      </pivotArea>
    </chartFormat>
    <chartFormat chart="0" format="607" series="1">
      <pivotArea type="data" outline="0" fieldPosition="0">
        <references count="3">
          <reference field="4294967294" count="1" selected="0">
            <x v="0"/>
          </reference>
          <reference field="12" count="1" selected="0">
            <x v="7"/>
          </reference>
          <reference field="13" count="1" selected="0">
            <x v="1"/>
          </reference>
        </references>
      </pivotArea>
    </chartFormat>
    <chartFormat chart="0" format="608" series="1">
      <pivotArea type="data" outline="0" fieldPosition="0">
        <references count="3">
          <reference field="4294967294" count="1" selected="0">
            <x v="0"/>
          </reference>
          <reference field="12" count="1" selected="0">
            <x v="8"/>
          </reference>
          <reference field="13" count="1" selected="0">
            <x v="1"/>
          </reference>
        </references>
      </pivotArea>
    </chartFormat>
    <chartFormat chart="0" format="609" series="1">
      <pivotArea type="data" outline="0" fieldPosition="0">
        <references count="3">
          <reference field="4294967294" count="1" selected="0">
            <x v="0"/>
          </reference>
          <reference field="12" count="1" selected="0">
            <x v="9"/>
          </reference>
          <reference field="13" count="1" selected="0">
            <x v="1"/>
          </reference>
        </references>
      </pivotArea>
    </chartFormat>
    <chartFormat chart="0" format="610" series="1">
      <pivotArea type="data" outline="0" fieldPosition="0">
        <references count="3">
          <reference field="4294967294" count="1" selected="0">
            <x v="0"/>
          </reference>
          <reference field="12" count="1" selected="0">
            <x v="10"/>
          </reference>
          <reference field="13" count="1" selected="0">
            <x v="1"/>
          </reference>
        </references>
      </pivotArea>
    </chartFormat>
    <chartFormat chart="0" format="611" series="1">
      <pivotArea type="data" outline="0" fieldPosition="0">
        <references count="3">
          <reference field="4294967294" count="1" selected="0">
            <x v="0"/>
          </reference>
          <reference field="12" count="1" selected="0">
            <x v="11"/>
          </reference>
          <reference field="13" count="1" selected="0">
            <x v="1"/>
          </reference>
        </references>
      </pivotArea>
    </chartFormat>
    <chartFormat chart="0" format="612" series="1">
      <pivotArea type="data" outline="0" fieldPosition="0">
        <references count="3">
          <reference field="4294967294" count="1" selected="0">
            <x v="0"/>
          </reference>
          <reference field="12" count="1" selected="0">
            <x v="12"/>
          </reference>
          <reference field="13" count="1" selected="0">
            <x v="1"/>
          </reference>
        </references>
      </pivotArea>
    </chartFormat>
    <chartFormat chart="0" format="613" series="1">
      <pivotArea type="data" outline="0" fieldPosition="0">
        <references count="2">
          <reference field="4294967294" count="1" selected="0">
            <x v="0"/>
          </reference>
          <reference field="12" count="1" selected="0">
            <x v="2"/>
          </reference>
        </references>
      </pivotArea>
    </chartFormat>
    <chartFormat chart="0" format="614" series="1">
      <pivotArea type="data" outline="0" fieldPosition="0">
        <references count="2">
          <reference field="4294967294" count="1" selected="0">
            <x v="0"/>
          </reference>
          <reference field="12" count="1" selected="0">
            <x v="3"/>
          </reference>
        </references>
      </pivotArea>
    </chartFormat>
    <chartFormat chart="0" format="615" series="1">
      <pivotArea type="data" outline="0" fieldPosition="0">
        <references count="2">
          <reference field="4294967294" count="1" selected="0">
            <x v="0"/>
          </reference>
          <reference field="12" count="1" selected="0">
            <x v="4"/>
          </reference>
        </references>
      </pivotArea>
    </chartFormat>
    <chartFormat chart="0" format="616" series="1">
      <pivotArea type="data" outline="0" fieldPosition="0">
        <references count="2">
          <reference field="4294967294" count="1" selected="0">
            <x v="0"/>
          </reference>
          <reference field="12" count="1" selected="0">
            <x v="5"/>
          </reference>
        </references>
      </pivotArea>
    </chartFormat>
    <chartFormat chart="0" format="617" series="1">
      <pivotArea type="data" outline="0" fieldPosition="0">
        <references count="2">
          <reference field="4294967294" count="1" selected="0">
            <x v="0"/>
          </reference>
          <reference field="12" count="1" selected="0">
            <x v="6"/>
          </reference>
        </references>
      </pivotArea>
    </chartFormat>
    <chartFormat chart="0" format="618" series="1">
      <pivotArea type="data" outline="0" fieldPosition="0">
        <references count="2">
          <reference field="4294967294" count="1" selected="0">
            <x v="0"/>
          </reference>
          <reference field="12" count="1" selected="0">
            <x v="7"/>
          </reference>
        </references>
      </pivotArea>
    </chartFormat>
    <chartFormat chart="0" format="619" series="1">
      <pivotArea type="data" outline="0" fieldPosition="0">
        <references count="2">
          <reference field="4294967294" count="1" selected="0">
            <x v="0"/>
          </reference>
          <reference field="12" count="1" selected="0">
            <x v="8"/>
          </reference>
        </references>
      </pivotArea>
    </chartFormat>
    <chartFormat chart="0" format="620" series="1">
      <pivotArea type="data" outline="0" fieldPosition="0">
        <references count="2">
          <reference field="4294967294" count="1" selected="0">
            <x v="0"/>
          </reference>
          <reference field="12" count="1" selected="0">
            <x v="9"/>
          </reference>
        </references>
      </pivotArea>
    </chartFormat>
    <chartFormat chart="0" format="621" series="1">
      <pivotArea type="data" outline="0" fieldPosition="0">
        <references count="2">
          <reference field="4294967294" count="1" selected="0">
            <x v="0"/>
          </reference>
          <reference field="12" count="1" selected="0">
            <x v="10"/>
          </reference>
        </references>
      </pivotArea>
    </chartFormat>
    <chartFormat chart="0" format="622" series="1">
      <pivotArea type="data" outline="0" fieldPosition="0">
        <references count="2">
          <reference field="4294967294" count="1" selected="0">
            <x v="0"/>
          </reference>
          <reference field="12" count="1" selected="0">
            <x v="11"/>
          </reference>
        </references>
      </pivotArea>
    </chartFormat>
    <chartFormat chart="0" format="623" series="1">
      <pivotArea type="data" outline="0" fieldPosition="0">
        <references count="2">
          <reference field="4294967294" count="1" selected="0">
            <x v="0"/>
          </reference>
          <reference field="12" count="1" selected="0">
            <x v="12"/>
          </reference>
        </references>
      </pivotArea>
    </chartFormat>
    <chartFormat chart="0" format="624"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1"/>
          </reference>
        </references>
      </pivotArea>
    </chartFormat>
    <chartFormat chart="13" format="3" series="1">
      <pivotArea type="data" outline="0" fieldPosition="0">
        <references count="2">
          <reference field="4294967294" count="1" selected="0">
            <x v="0"/>
          </reference>
          <reference field="13" count="1" selected="0">
            <x v="2"/>
          </reference>
        </references>
      </pivotArea>
    </chartFormat>
    <chartFormat chart="4" format="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7" type="dateBetween" evalOrder="-1" id="12" name="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616C1-05F6-41A5-9BE4-BBBE5806B328}" name="Region sale 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2:B38" firstHeaderRow="1" firstDataRow="1" firstDataCol="1"/>
  <pivotFields count="11">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pivotField showAll="0"/>
    <pivotField numFmtId="165" showAll="0"/>
    <pivotField numFmtId="166" showAll="0"/>
  </pivotFields>
  <rowFields count="1">
    <field x="2"/>
  </rowFields>
  <rowItems count="6">
    <i>
      <x/>
    </i>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14E097-872D-40B5-A08E-68EC2A3289F4}" sourceName="Region">
  <pivotTables>
    <pivotTable tabId="4" name="sum of sale"/>
    <pivotTable tabId="4" name="Region sale total"/>
  </pivotTables>
  <data>
    <tabular pivotCacheId="1284448464">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D63F3B3-6577-4B0B-904D-C7D507D640D4}" cache="Slicer_Region"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C7FD7D-496D-4855-880A-D613FE8FC388}" cache="Slicer_Region" caption="Region"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D4C27C7-C202-46AD-9179-3748B8C46187}" sourceName="Order_Date">
  <pivotTables>
    <pivotTable tabId="4" name="TIme Line"/>
  </pivotTables>
  <state minimalRefreshVersion="6" lastRefreshVersion="6" pivotCacheId="222235828" filterType="dateBetween">
    <selection startDate="2025-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1440DE1-7309-4397-957D-6A631F9E69EB}" cache="NativeTimeline_Order_Date" caption="Order_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00DFF110-F8FB-4D22-BAB8-2337B88C6D09}" cache="NativeTimeline_Order_Date" caption="Order_Date" level="0" selectionLevel="0"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EE85-2EC2-4101-BE56-8B7F3AC85C9F}">
  <dimension ref="A49:R67"/>
  <sheetViews>
    <sheetView showGridLines="0" showRowColHeaders="0" zoomScale="86" zoomScaleNormal="100" workbookViewId="0">
      <selection activeCell="M32" sqref="M32"/>
    </sheetView>
  </sheetViews>
  <sheetFormatPr defaultRowHeight="14.5" x14ac:dyDescent="0.35"/>
  <cols>
    <col min="1" max="1" width="16.81640625" style="32" bestFit="1" customWidth="1"/>
    <col min="2" max="2" width="12.453125" style="32" bestFit="1" customWidth="1"/>
    <col min="3" max="3" width="13.54296875" style="32" bestFit="1" customWidth="1"/>
    <col min="4" max="4" width="12.453125" style="32" bestFit="1" customWidth="1"/>
    <col min="5" max="5" width="11.81640625" style="32" bestFit="1" customWidth="1"/>
    <col min="6" max="6" width="12.453125" style="32" bestFit="1" customWidth="1"/>
    <col min="7" max="7" width="11.81640625" style="32" bestFit="1" customWidth="1"/>
    <col min="8" max="8" width="12.453125" style="32" bestFit="1" customWidth="1"/>
    <col min="9" max="9" width="12" style="32" bestFit="1" customWidth="1"/>
    <col min="10" max="10" width="16.08984375" style="32" bestFit="1" customWidth="1"/>
    <col min="11" max="11" width="11.81640625" style="32" bestFit="1" customWidth="1"/>
    <col min="12" max="12" width="13.54296875" style="32" bestFit="1" customWidth="1"/>
    <col min="13" max="13" width="12.453125" style="32" bestFit="1" customWidth="1"/>
    <col min="14" max="14" width="11.81640625" style="32" bestFit="1" customWidth="1"/>
    <col min="15" max="15" width="12.453125" style="32" bestFit="1" customWidth="1"/>
    <col min="16" max="16" width="11.81640625" style="32" bestFit="1" customWidth="1"/>
    <col min="17" max="17" width="12.453125" style="32" bestFit="1" customWidth="1"/>
    <col min="18" max="18" width="10.90625" style="32" bestFit="1" customWidth="1"/>
    <col min="19" max="19" width="11.26953125" style="32" bestFit="1" customWidth="1"/>
    <col min="20" max="20" width="16.81640625" style="32" bestFit="1" customWidth="1"/>
    <col min="21" max="21" width="12.453125" style="32" bestFit="1" customWidth="1"/>
    <col min="22" max="16384" width="8.7265625" style="32"/>
  </cols>
  <sheetData>
    <row r="49" spans="1:18" ht="15" thickBot="1" x14ac:dyDescent="0.4"/>
    <row r="50" spans="1:18" ht="18.5" x14ac:dyDescent="0.35">
      <c r="A50" s="68" t="s">
        <v>5</v>
      </c>
      <c r="B50" s="68"/>
      <c r="D50" s="51" t="s">
        <v>129</v>
      </c>
      <c r="E50" s="51"/>
      <c r="F50" s="52"/>
      <c r="G50" s="52"/>
      <c r="H50" s="52"/>
      <c r="J50" s="69" t="s">
        <v>101</v>
      </c>
      <c r="K50" s="70"/>
      <c r="L50" s="70"/>
      <c r="M50" s="70"/>
      <c r="N50" s="70"/>
      <c r="O50" s="70"/>
      <c r="P50" s="70"/>
      <c r="Q50" s="70"/>
      <c r="R50" s="70"/>
    </row>
    <row r="51" spans="1:18" ht="15.5" x14ac:dyDescent="0.35">
      <c r="A51" s="33"/>
      <c r="B51" s="33"/>
      <c r="D51" s="53"/>
      <c r="E51" s="53"/>
      <c r="F51" s="54" t="s">
        <v>131</v>
      </c>
      <c r="G51" s="54" t="s">
        <v>128</v>
      </c>
      <c r="H51" s="54" t="s">
        <v>127</v>
      </c>
      <c r="J51" s="70"/>
      <c r="K51" s="70"/>
      <c r="L51" s="70"/>
      <c r="M51" s="70"/>
      <c r="N51" s="70"/>
      <c r="O51" s="70"/>
      <c r="P51" s="70"/>
      <c r="Q51" s="70"/>
      <c r="R51" s="70"/>
    </row>
    <row r="52" spans="1:18" ht="21" x14ac:dyDescent="0.35">
      <c r="A52" s="33" t="s">
        <v>88</v>
      </c>
      <c r="B52" s="33">
        <v>976.08879999999965</v>
      </c>
      <c r="D52" s="34"/>
      <c r="E52" s="34"/>
      <c r="G52" s="35" t="s">
        <v>126</v>
      </c>
      <c r="H52" s="35" t="s">
        <v>126</v>
      </c>
      <c r="J52" s="42" t="s">
        <v>102</v>
      </c>
      <c r="K52" s="55"/>
      <c r="L52" s="43"/>
      <c r="M52" s="43"/>
      <c r="N52" s="43"/>
      <c r="O52" s="43"/>
      <c r="P52" s="43"/>
      <c r="Q52" s="43"/>
      <c r="R52" s="47"/>
    </row>
    <row r="53" spans="1:18" x14ac:dyDescent="0.35">
      <c r="A53" s="33" t="s">
        <v>89</v>
      </c>
      <c r="B53" s="33">
        <v>21.161850448978406</v>
      </c>
      <c r="D53" s="36" t="s">
        <v>130</v>
      </c>
      <c r="E53" s="36"/>
      <c r="F53" s="37"/>
      <c r="G53" s="37"/>
      <c r="H53" s="37"/>
      <c r="J53" s="44" t="s">
        <v>103</v>
      </c>
      <c r="K53" s="48">
        <v>0.77340306414342619</v>
      </c>
      <c r="R53" s="48"/>
    </row>
    <row r="54" spans="1:18" x14ac:dyDescent="0.35">
      <c r="A54" s="33" t="s">
        <v>90</v>
      </c>
      <c r="B54" s="33">
        <v>976.72</v>
      </c>
      <c r="D54" s="34"/>
      <c r="E54" s="34" t="s">
        <v>124</v>
      </c>
      <c r="F54" s="32">
        <v>0.2</v>
      </c>
      <c r="G54" s="38">
        <v>0.05</v>
      </c>
      <c r="H54" s="38">
        <v>0.4</v>
      </c>
      <c r="J54" s="44" t="s">
        <v>104</v>
      </c>
      <c r="K54" s="48">
        <v>0.59815229962644056</v>
      </c>
      <c r="R54" s="48"/>
    </row>
    <row r="55" spans="1:18" x14ac:dyDescent="0.35">
      <c r="A55" s="33" t="s">
        <v>91</v>
      </c>
      <c r="B55" s="33" t="e">
        <v>#N/A</v>
      </c>
      <c r="D55" s="36" t="s">
        <v>132</v>
      </c>
      <c r="E55" s="36"/>
      <c r="F55" s="37"/>
      <c r="G55" s="37"/>
      <c r="H55" s="37"/>
      <c r="J55" s="44" t="s">
        <v>105</v>
      </c>
      <c r="K55" s="48">
        <v>0.59612276578617007</v>
      </c>
      <c r="R55" s="48"/>
    </row>
    <row r="56" spans="1:18" ht="15" thickBot="1" x14ac:dyDescent="0.4">
      <c r="A56" s="33" t="s">
        <v>92</v>
      </c>
      <c r="B56" s="33">
        <v>299.27375909856431</v>
      </c>
      <c r="D56" s="39"/>
      <c r="E56" s="39" t="s">
        <v>125</v>
      </c>
      <c r="F56" s="40">
        <v>828.87199999999996</v>
      </c>
      <c r="G56" s="40">
        <v>984.28549999999996</v>
      </c>
      <c r="H56" s="40">
        <v>621.654</v>
      </c>
      <c r="J56" s="44" t="s">
        <v>89</v>
      </c>
      <c r="K56" s="48">
        <v>86.281230529665166</v>
      </c>
      <c r="R56" s="48"/>
    </row>
    <row r="57" spans="1:18" ht="15" thickBot="1" x14ac:dyDescent="0.4">
      <c r="A57" s="33" t="s">
        <v>93</v>
      </c>
      <c r="B57" s="33">
        <v>89564.782884985514</v>
      </c>
      <c r="D57" s="32" t="s">
        <v>133</v>
      </c>
      <c r="J57" s="45" t="s">
        <v>106</v>
      </c>
      <c r="K57" s="50">
        <v>200</v>
      </c>
      <c r="R57" s="48"/>
    </row>
    <row r="58" spans="1:18" x14ac:dyDescent="0.35">
      <c r="A58" s="33" t="s">
        <v>94</v>
      </c>
      <c r="B58" s="33">
        <v>-8.8595231919740502E-2</v>
      </c>
      <c r="D58" s="32" t="s">
        <v>134</v>
      </c>
      <c r="J58" s="44"/>
      <c r="R58" s="48"/>
    </row>
    <row r="59" spans="1:18" ht="15" thickBot="1" x14ac:dyDescent="0.4">
      <c r="A59" s="33" t="s">
        <v>95</v>
      </c>
      <c r="B59" s="33">
        <v>0.14685796564193557</v>
      </c>
      <c r="D59" s="32" t="s">
        <v>135</v>
      </c>
      <c r="J59" s="44" t="s">
        <v>107</v>
      </c>
      <c r="R59" s="48"/>
    </row>
    <row r="60" spans="1:18" x14ac:dyDescent="0.35">
      <c r="A60" s="33" t="s">
        <v>96</v>
      </c>
      <c r="B60" s="33">
        <v>1665.15</v>
      </c>
      <c r="J60" s="46"/>
      <c r="K60" s="41" t="s">
        <v>112</v>
      </c>
      <c r="L60" s="41" t="s">
        <v>113</v>
      </c>
      <c r="M60" s="41" t="s">
        <v>114</v>
      </c>
      <c r="N60" s="41" t="s">
        <v>115</v>
      </c>
      <c r="O60" s="49" t="s">
        <v>116</v>
      </c>
      <c r="R60" s="48"/>
    </row>
    <row r="61" spans="1:18" x14ac:dyDescent="0.35">
      <c r="A61" s="33" t="s">
        <v>97</v>
      </c>
      <c r="B61" s="33">
        <v>258.51</v>
      </c>
      <c r="J61" s="44" t="s">
        <v>108</v>
      </c>
      <c r="K61" s="32">
        <v>1</v>
      </c>
      <c r="L61" s="32">
        <v>2194058.1833402822</v>
      </c>
      <c r="M61" s="32">
        <v>2194058.1833402822</v>
      </c>
      <c r="N61" s="32">
        <v>294.72398427548114</v>
      </c>
      <c r="O61" s="48">
        <v>4.6269367558910499E-41</v>
      </c>
      <c r="R61" s="48"/>
    </row>
    <row r="62" spans="1:18" x14ac:dyDescent="0.35">
      <c r="A62" s="33" t="s">
        <v>98</v>
      </c>
      <c r="B62" s="33">
        <v>1923.66</v>
      </c>
      <c r="J62" s="44" t="s">
        <v>109</v>
      </c>
      <c r="K62" s="32">
        <v>198</v>
      </c>
      <c r="L62" s="32">
        <v>1474001.2468592182</v>
      </c>
      <c r="M62" s="32">
        <v>7444.4507417132236</v>
      </c>
      <c r="O62" s="48"/>
      <c r="R62" s="48"/>
    </row>
    <row r="63" spans="1:18" ht="15" thickBot="1" x14ac:dyDescent="0.4">
      <c r="A63" s="33" t="s">
        <v>99</v>
      </c>
      <c r="B63" s="33">
        <v>195217.75999999992</v>
      </c>
      <c r="J63" s="45" t="s">
        <v>110</v>
      </c>
      <c r="K63" s="40">
        <v>199</v>
      </c>
      <c r="L63" s="40">
        <v>3668059.4301995002</v>
      </c>
      <c r="M63" s="40"/>
      <c r="N63" s="40"/>
      <c r="O63" s="50"/>
      <c r="R63" s="48"/>
    </row>
    <row r="64" spans="1:18" ht="15" thickBot="1" x14ac:dyDescent="0.4">
      <c r="A64" s="33" t="s">
        <v>100</v>
      </c>
      <c r="B64" s="33">
        <v>200</v>
      </c>
      <c r="J64" s="44"/>
      <c r="R64" s="48"/>
    </row>
    <row r="65" spans="1:18" x14ac:dyDescent="0.35">
      <c r="A65" s="33"/>
      <c r="B65" s="33">
        <v>1</v>
      </c>
      <c r="J65" s="46"/>
      <c r="K65" s="41" t="s">
        <v>117</v>
      </c>
      <c r="L65" s="41" t="s">
        <v>89</v>
      </c>
      <c r="M65" s="41" t="s">
        <v>118</v>
      </c>
      <c r="N65" s="41" t="s">
        <v>119</v>
      </c>
      <c r="O65" s="41" t="s">
        <v>120</v>
      </c>
      <c r="P65" s="41" t="s">
        <v>121</v>
      </c>
      <c r="Q65" s="41" t="s">
        <v>122</v>
      </c>
      <c r="R65" s="49" t="s">
        <v>123</v>
      </c>
    </row>
    <row r="66" spans="1:18" x14ac:dyDescent="0.35">
      <c r="J66" s="44" t="s">
        <v>111</v>
      </c>
      <c r="K66" s="32">
        <v>-1.0315504901911368</v>
      </c>
      <c r="L66" s="32">
        <v>20.860617005445505</v>
      </c>
      <c r="M66" s="32">
        <v>-4.9449663445805959E-2</v>
      </c>
      <c r="N66" s="32">
        <v>0.96061079696907459</v>
      </c>
      <c r="O66" s="32">
        <v>-42.169051823378965</v>
      </c>
      <c r="P66" s="32">
        <v>40.105950842996691</v>
      </c>
      <c r="Q66" s="32">
        <v>-42.169051823378965</v>
      </c>
      <c r="R66" s="48">
        <v>40.105950842996691</v>
      </c>
    </row>
    <row r="67" spans="1:18" ht="15" thickBot="1" x14ac:dyDescent="0.4">
      <c r="J67" s="45" t="s">
        <v>5</v>
      </c>
      <c r="K67" s="40">
        <v>0.35085598819512254</v>
      </c>
      <c r="L67" s="40">
        <v>2.0437188630135626E-2</v>
      </c>
      <c r="M67" s="40">
        <v>17.167527028535048</v>
      </c>
      <c r="N67" s="40">
        <v>4.6269367558907868E-41</v>
      </c>
      <c r="O67" s="40">
        <v>0.31055349501865764</v>
      </c>
      <c r="P67" s="40">
        <v>0.39115848137158743</v>
      </c>
      <c r="Q67" s="40">
        <v>0.31055349501865764</v>
      </c>
      <c r="R67" s="50">
        <v>0.39115848137158743</v>
      </c>
    </row>
  </sheetData>
  <mergeCells count="2">
    <mergeCell ref="A50:B50"/>
    <mergeCell ref="J50:R5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2" zoomScale="64" workbookViewId="0">
      <selection activeCell="B2" sqref="B2"/>
    </sheetView>
  </sheetViews>
  <sheetFormatPr defaultColWidth="14.453125" defaultRowHeight="15" customHeight="1" x14ac:dyDescent="0.35"/>
  <cols>
    <col min="1" max="1" width="74.81640625" customWidth="1"/>
    <col min="2" max="2" width="28.36328125" bestFit="1" customWidth="1"/>
    <col min="3" max="26" width="8.7265625" customWidth="1"/>
  </cols>
  <sheetData>
    <row r="1" spans="1:26" ht="14.5"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409" customHeight="1" x14ac:dyDescent="0.35">
      <c r="A2" s="4" t="s">
        <v>77</v>
      </c>
      <c r="B2" s="8"/>
      <c r="C2" s="2"/>
      <c r="D2" s="2"/>
      <c r="E2" s="2"/>
      <c r="F2" s="2"/>
      <c r="G2" s="2"/>
      <c r="H2" s="2"/>
      <c r="I2" s="2"/>
      <c r="J2" s="2"/>
      <c r="K2" s="2"/>
      <c r="L2" s="2"/>
      <c r="M2" s="2"/>
      <c r="N2" s="2"/>
      <c r="O2" s="2"/>
      <c r="P2" s="2"/>
      <c r="Q2" s="2"/>
      <c r="R2" s="2"/>
      <c r="S2" s="2"/>
      <c r="T2" s="2"/>
      <c r="U2" s="2"/>
      <c r="V2" s="2"/>
      <c r="W2" s="2"/>
      <c r="X2" s="2"/>
      <c r="Y2" s="2"/>
      <c r="Z2" s="2"/>
    </row>
    <row r="3" spans="1:26" ht="14.5" x14ac:dyDescent="0.35">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5">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5">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5">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row r="926" spans="1:26" ht="15.75" customHeight="1" x14ac:dyDescent="0.35"/>
    <row r="927" spans="1:26" ht="15.75" customHeight="1" x14ac:dyDescent="0.35"/>
    <row r="928" spans="1:26"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N9" activeCellId="1" sqref="M2 N9"/>
    </sheetView>
  </sheetViews>
  <sheetFormatPr defaultColWidth="14.453125" defaultRowHeight="15" customHeight="1" x14ac:dyDescent="0.35"/>
  <cols>
    <col min="1" max="1" width="12.453125" customWidth="1"/>
    <col min="2" max="2" width="16.54296875" customWidth="1"/>
    <col min="3" max="3" width="7.26953125" customWidth="1"/>
    <col min="4" max="4" width="16.7265625" customWidth="1"/>
    <col min="5" max="5" width="8" customWidth="1"/>
    <col min="6" max="6" width="8.81640625" customWidth="1"/>
    <col min="7" max="7" width="8.7265625" customWidth="1"/>
    <col min="8" max="8" width="11.26953125" customWidth="1"/>
    <col min="9" max="9" width="7" customWidth="1"/>
    <col min="10" max="10" width="8.7265625" style="6" customWidth="1"/>
    <col min="11" max="11" width="23.08984375" style="7" customWidth="1"/>
    <col min="12" max="12" width="9.36328125" bestFit="1" customWidth="1"/>
    <col min="13" max="26" width="8.7265625" customWidth="1"/>
  </cols>
  <sheetData>
    <row r="1" spans="1:26" ht="15.5" x14ac:dyDescent="0.35">
      <c r="A1" s="64" t="s">
        <v>1</v>
      </c>
      <c r="B1" s="64" t="s">
        <v>2</v>
      </c>
      <c r="C1" s="64" t="s">
        <v>3</v>
      </c>
      <c r="D1" s="65" t="s">
        <v>4</v>
      </c>
      <c r="E1" s="65" t="s">
        <v>5</v>
      </c>
      <c r="F1" s="65" t="s">
        <v>6</v>
      </c>
      <c r="G1" s="65" t="s">
        <v>7</v>
      </c>
      <c r="H1" s="65" t="s">
        <v>8</v>
      </c>
      <c r="I1" s="65" t="s">
        <v>9</v>
      </c>
      <c r="J1" s="66" t="s">
        <v>78</v>
      </c>
      <c r="K1" s="67" t="s">
        <v>79</v>
      </c>
      <c r="L1" s="65" t="s">
        <v>85</v>
      </c>
      <c r="M1" s="5" t="s">
        <v>136</v>
      </c>
      <c r="N1" s="3"/>
      <c r="O1" s="3"/>
      <c r="P1" s="3"/>
      <c r="Q1" s="3"/>
      <c r="R1" s="3"/>
      <c r="S1" s="3"/>
      <c r="T1" s="3"/>
      <c r="U1" s="3"/>
      <c r="V1" s="3"/>
      <c r="W1" s="3"/>
      <c r="X1" s="3"/>
      <c r="Y1" s="3"/>
      <c r="Z1" s="3"/>
    </row>
    <row r="2" spans="1:26" ht="14.5" x14ac:dyDescent="0.35">
      <c r="A2" s="21" t="s">
        <v>10</v>
      </c>
      <c r="B2" s="21" t="s">
        <v>11</v>
      </c>
      <c r="C2" s="21" t="s">
        <v>12</v>
      </c>
      <c r="D2" s="17" t="s">
        <v>13</v>
      </c>
      <c r="E2" s="17">
        <v>1036.0899999999999</v>
      </c>
      <c r="F2" s="17">
        <v>4</v>
      </c>
      <c r="G2" s="17">
        <v>0.2</v>
      </c>
      <c r="H2" s="18">
        <v>45392</v>
      </c>
      <c r="I2" s="17">
        <f>E2 - (E2 * G2)</f>
        <v>828.87199999999996</v>
      </c>
      <c r="J2" s="19">
        <f>(E3-E2)/E2</f>
        <v>6.2919244467179544E-2</v>
      </c>
      <c r="K2" s="20">
        <f ca="1">IF(A2&lt;&gt;"", IF(K2&gt;1, K2, NOW()), "")</f>
        <v>46140.516403240741</v>
      </c>
      <c r="L2" s="15" t="str">
        <f>TEXT(H2, "MMM-YY")</f>
        <v>Apr-24</v>
      </c>
      <c r="M2" s="31">
        <f>SUBTOTAL(1, $G:$G)</f>
        <v>9.7299999999999998E-2</v>
      </c>
    </row>
    <row r="3" spans="1:26" ht="14.5" x14ac:dyDescent="0.35">
      <c r="A3" s="21" t="s">
        <v>14</v>
      </c>
      <c r="B3" s="21" t="s">
        <v>15</v>
      </c>
      <c r="C3" s="21" t="s">
        <v>12</v>
      </c>
      <c r="D3" s="17" t="s">
        <v>16</v>
      </c>
      <c r="E3" s="17">
        <v>1101.28</v>
      </c>
      <c r="F3" s="17">
        <v>3</v>
      </c>
      <c r="G3" s="17">
        <v>0.2</v>
      </c>
      <c r="H3" s="18">
        <v>45393</v>
      </c>
      <c r="I3" s="17">
        <f t="shared" ref="I3:I66" si="0">E3 - (E3 * G3)</f>
        <v>881.024</v>
      </c>
      <c r="J3" s="19">
        <f t="shared" ref="J3:J66" si="1">(E4-E3)/E3</f>
        <v>-0.35226282144413767</v>
      </c>
      <c r="K3" s="20">
        <f t="shared" ref="K3:K66" ca="1" si="2">IF(A3&lt;&gt;"", IF(K3&gt;1, K3, NOW()), "")</f>
        <v>46140.516403240741</v>
      </c>
      <c r="L3" s="15" t="str">
        <f t="shared" ref="L3:L66" si="3">TEXT(H3, "MMM-YY")</f>
        <v>Apr-24</v>
      </c>
    </row>
    <row r="4" spans="1:26" ht="14.5" x14ac:dyDescent="0.35">
      <c r="A4" s="21" t="s">
        <v>17</v>
      </c>
      <c r="B4" s="21" t="s">
        <v>18</v>
      </c>
      <c r="C4" s="21" t="s">
        <v>19</v>
      </c>
      <c r="D4" s="17" t="s">
        <v>13</v>
      </c>
      <c r="E4" s="17">
        <v>713.34</v>
      </c>
      <c r="F4" s="17">
        <v>17</v>
      </c>
      <c r="G4" s="17">
        <v>0</v>
      </c>
      <c r="H4" s="18">
        <v>45396</v>
      </c>
      <c r="I4" s="17">
        <f t="shared" si="0"/>
        <v>713.34</v>
      </c>
      <c r="J4" s="19">
        <f t="shared" si="1"/>
        <v>6.6714329772618833E-2</v>
      </c>
      <c r="K4" s="20">
        <f t="shared" ca="1" si="2"/>
        <v>46140.516403240741</v>
      </c>
      <c r="L4" s="15" t="str">
        <f t="shared" si="3"/>
        <v>Apr-24</v>
      </c>
    </row>
    <row r="5" spans="1:26" ht="14.5" x14ac:dyDescent="0.35">
      <c r="A5" s="21" t="s">
        <v>20</v>
      </c>
      <c r="B5" s="21" t="s">
        <v>15</v>
      </c>
      <c r="C5" s="21" t="s">
        <v>21</v>
      </c>
      <c r="D5" s="17" t="s">
        <v>22</v>
      </c>
      <c r="E5" s="17">
        <v>760.93</v>
      </c>
      <c r="F5" s="17">
        <v>4</v>
      </c>
      <c r="G5" s="17">
        <v>0.15</v>
      </c>
      <c r="H5" s="18">
        <v>45396</v>
      </c>
      <c r="I5" s="17">
        <f t="shared" si="0"/>
        <v>646.79049999999995</v>
      </c>
      <c r="J5" s="19">
        <f t="shared" si="1"/>
        <v>0.1131115871367932</v>
      </c>
      <c r="K5" s="20">
        <f t="shared" ca="1" si="2"/>
        <v>46140.516403240741</v>
      </c>
      <c r="L5" s="15" t="str">
        <f t="shared" si="3"/>
        <v>Apr-24</v>
      </c>
    </row>
    <row r="6" spans="1:26" ht="14.5" x14ac:dyDescent="0.35">
      <c r="A6" s="21" t="s">
        <v>23</v>
      </c>
      <c r="B6" s="21" t="s">
        <v>24</v>
      </c>
      <c r="C6" s="21" t="s">
        <v>25</v>
      </c>
      <c r="D6" s="17" t="s">
        <v>13</v>
      </c>
      <c r="E6" s="17">
        <v>847</v>
      </c>
      <c r="F6" s="17">
        <v>12</v>
      </c>
      <c r="G6" s="17">
        <v>0.2</v>
      </c>
      <c r="H6" s="18">
        <v>45397</v>
      </c>
      <c r="I6" s="17">
        <f t="shared" si="0"/>
        <v>677.6</v>
      </c>
      <c r="J6" s="19">
        <f t="shared" si="1"/>
        <v>0.14007083825265643</v>
      </c>
      <c r="K6" s="20">
        <f t="shared" ca="1" si="2"/>
        <v>46140.516403240741</v>
      </c>
      <c r="L6" s="15" t="str">
        <f t="shared" si="3"/>
        <v>Apr-24</v>
      </c>
    </row>
    <row r="7" spans="1:26" ht="14.5" x14ac:dyDescent="0.35">
      <c r="A7" s="21" t="s">
        <v>26</v>
      </c>
      <c r="B7" s="21" t="s">
        <v>27</v>
      </c>
      <c r="C7" s="21" t="s">
        <v>25</v>
      </c>
      <c r="D7" s="17" t="s">
        <v>28</v>
      </c>
      <c r="E7" s="17">
        <v>965.64</v>
      </c>
      <c r="F7" s="17">
        <v>8</v>
      </c>
      <c r="G7" s="17">
        <v>0.1</v>
      </c>
      <c r="H7" s="18">
        <v>45398</v>
      </c>
      <c r="I7" s="17">
        <f t="shared" si="0"/>
        <v>869.07600000000002</v>
      </c>
      <c r="J7" s="19">
        <f t="shared" si="1"/>
        <v>0.36441116772296095</v>
      </c>
      <c r="K7" s="20">
        <f t="shared" ca="1" si="2"/>
        <v>46140.516403240741</v>
      </c>
      <c r="L7" s="15" t="str">
        <f t="shared" si="3"/>
        <v>Apr-24</v>
      </c>
    </row>
    <row r="8" spans="1:26" ht="14.5" x14ac:dyDescent="0.35">
      <c r="A8" s="21" t="s">
        <v>29</v>
      </c>
      <c r="B8" s="21" t="s">
        <v>30</v>
      </c>
      <c r="C8" s="21" t="s">
        <v>12</v>
      </c>
      <c r="D8" s="17" t="s">
        <v>22</v>
      </c>
      <c r="E8" s="17">
        <v>1317.53</v>
      </c>
      <c r="F8" s="17">
        <v>12</v>
      </c>
      <c r="G8" s="17">
        <v>0.05</v>
      </c>
      <c r="H8" s="18">
        <v>45398</v>
      </c>
      <c r="I8" s="17">
        <f t="shared" si="0"/>
        <v>1251.6534999999999</v>
      </c>
      <c r="J8" s="19">
        <f t="shared" si="1"/>
        <v>-0.18448156778213776</v>
      </c>
      <c r="K8" s="20">
        <f t="shared" ca="1" si="2"/>
        <v>46140.516403240741</v>
      </c>
      <c r="L8" s="15" t="str">
        <f t="shared" si="3"/>
        <v>Apr-24</v>
      </c>
    </row>
    <row r="9" spans="1:26" ht="14.5" x14ac:dyDescent="0.35">
      <c r="A9" s="21" t="s">
        <v>31</v>
      </c>
      <c r="B9" s="21" t="s">
        <v>32</v>
      </c>
      <c r="C9" s="21" t="s">
        <v>19</v>
      </c>
      <c r="D9" s="17" t="s">
        <v>28</v>
      </c>
      <c r="E9" s="17">
        <v>1074.47</v>
      </c>
      <c r="F9" s="17">
        <v>6</v>
      </c>
      <c r="G9" s="17">
        <v>0.2</v>
      </c>
      <c r="H9" s="18">
        <v>45401</v>
      </c>
      <c r="I9" s="17">
        <f t="shared" si="0"/>
        <v>859.57600000000002</v>
      </c>
      <c r="J9" s="19">
        <f t="shared" si="1"/>
        <v>-0.53322102990311504</v>
      </c>
      <c r="K9" s="20">
        <f t="shared" ca="1" si="2"/>
        <v>46140.516403240741</v>
      </c>
      <c r="L9" s="15" t="str">
        <f t="shared" si="3"/>
        <v>Apr-24</v>
      </c>
    </row>
    <row r="10" spans="1:26" ht="14.5" x14ac:dyDescent="0.35">
      <c r="A10" s="21" t="s">
        <v>33</v>
      </c>
      <c r="B10" s="21" t="s">
        <v>34</v>
      </c>
      <c r="C10" s="21" t="s">
        <v>35</v>
      </c>
      <c r="D10" s="17" t="s">
        <v>13</v>
      </c>
      <c r="E10" s="17">
        <v>501.54</v>
      </c>
      <c r="F10" s="17">
        <v>11</v>
      </c>
      <c r="G10" s="17">
        <v>0.05</v>
      </c>
      <c r="H10" s="18">
        <v>45401</v>
      </c>
      <c r="I10" s="17">
        <f t="shared" si="0"/>
        <v>476.46300000000002</v>
      </c>
      <c r="J10" s="19">
        <f t="shared" si="1"/>
        <v>0.47009211628185171</v>
      </c>
      <c r="K10" s="20">
        <f t="shared" ca="1" si="2"/>
        <v>46140.516403240741</v>
      </c>
      <c r="L10" s="15" t="str">
        <f t="shared" si="3"/>
        <v>Apr-24</v>
      </c>
    </row>
    <row r="11" spans="1:26" ht="14.5" x14ac:dyDescent="0.35">
      <c r="A11" s="21" t="s">
        <v>36</v>
      </c>
      <c r="B11" s="21" t="s">
        <v>37</v>
      </c>
      <c r="C11" s="21" t="s">
        <v>35</v>
      </c>
      <c r="D11" s="17" t="s">
        <v>16</v>
      </c>
      <c r="E11" s="17">
        <v>737.31</v>
      </c>
      <c r="F11" s="17">
        <v>2</v>
      </c>
      <c r="G11" s="17">
        <v>0.05</v>
      </c>
      <c r="H11" s="18">
        <v>45401</v>
      </c>
      <c r="I11" s="17">
        <f t="shared" si="0"/>
        <v>700.44449999999995</v>
      </c>
      <c r="J11" s="19">
        <f t="shared" si="1"/>
        <v>1.1331868549185553</v>
      </c>
      <c r="K11" s="20">
        <f t="shared" ca="1" si="2"/>
        <v>46140.516403240741</v>
      </c>
      <c r="L11" s="15" t="str">
        <f t="shared" si="3"/>
        <v>Apr-24</v>
      </c>
    </row>
    <row r="12" spans="1:26" ht="14.5" x14ac:dyDescent="0.35">
      <c r="A12" s="21" t="s">
        <v>38</v>
      </c>
      <c r="B12" s="21" t="s">
        <v>39</v>
      </c>
      <c r="C12" s="21" t="s">
        <v>12</v>
      </c>
      <c r="D12" s="17" t="s">
        <v>40</v>
      </c>
      <c r="E12" s="17">
        <v>1572.82</v>
      </c>
      <c r="F12" s="17">
        <v>6</v>
      </c>
      <c r="G12" s="17">
        <v>0.05</v>
      </c>
      <c r="H12" s="18">
        <v>45402</v>
      </c>
      <c r="I12" s="17">
        <f t="shared" si="0"/>
        <v>1494.1789999999999</v>
      </c>
      <c r="J12" s="19">
        <f t="shared" si="1"/>
        <v>-0.14603705446268475</v>
      </c>
      <c r="K12" s="20">
        <f t="shared" ca="1" si="2"/>
        <v>46140.516403240741</v>
      </c>
      <c r="L12" s="15" t="str">
        <f t="shared" si="3"/>
        <v>Apr-24</v>
      </c>
    </row>
    <row r="13" spans="1:26" ht="14.5" x14ac:dyDescent="0.35">
      <c r="A13" s="21" t="s">
        <v>38</v>
      </c>
      <c r="B13" s="21" t="s">
        <v>37</v>
      </c>
      <c r="C13" s="21" t="s">
        <v>35</v>
      </c>
      <c r="D13" s="17" t="s">
        <v>13</v>
      </c>
      <c r="E13" s="17">
        <v>1343.13</v>
      </c>
      <c r="F13" s="17">
        <v>14</v>
      </c>
      <c r="G13" s="17">
        <v>0.16</v>
      </c>
      <c r="H13" s="18">
        <v>45404</v>
      </c>
      <c r="I13" s="17">
        <f t="shared" si="0"/>
        <v>1128.2292</v>
      </c>
      <c r="J13" s="19">
        <f t="shared" si="1"/>
        <v>-0.11283345618071235</v>
      </c>
      <c r="K13" s="20">
        <f t="shared" ca="1" si="2"/>
        <v>46140.516403240741</v>
      </c>
      <c r="L13" s="15" t="str">
        <f t="shared" si="3"/>
        <v>Apr-24</v>
      </c>
    </row>
    <row r="14" spans="1:26" ht="14.5" x14ac:dyDescent="0.35">
      <c r="A14" s="21" t="s">
        <v>26</v>
      </c>
      <c r="B14" s="21" t="s">
        <v>27</v>
      </c>
      <c r="C14" s="21" t="s">
        <v>35</v>
      </c>
      <c r="D14" s="17" t="s">
        <v>13</v>
      </c>
      <c r="E14" s="17">
        <v>1191.58</v>
      </c>
      <c r="F14" s="17">
        <v>14</v>
      </c>
      <c r="G14" s="17">
        <v>0.05</v>
      </c>
      <c r="H14" s="18">
        <v>45406</v>
      </c>
      <c r="I14" s="17">
        <f t="shared" si="0"/>
        <v>1132.001</v>
      </c>
      <c r="J14" s="19">
        <f t="shared" si="1"/>
        <v>-0.30992463787576158</v>
      </c>
      <c r="K14" s="20">
        <f t="shared" ca="1" si="2"/>
        <v>46140.516403240741</v>
      </c>
      <c r="L14" s="15" t="str">
        <f t="shared" si="3"/>
        <v>Apr-24</v>
      </c>
    </row>
    <row r="15" spans="1:26" ht="14.5" x14ac:dyDescent="0.35">
      <c r="A15" s="21" t="s">
        <v>41</v>
      </c>
      <c r="B15" s="21" t="s">
        <v>15</v>
      </c>
      <c r="C15" s="21" t="s">
        <v>12</v>
      </c>
      <c r="D15" s="17" t="s">
        <v>28</v>
      </c>
      <c r="E15" s="17">
        <v>822.28</v>
      </c>
      <c r="F15" s="17">
        <v>7</v>
      </c>
      <c r="G15" s="17">
        <v>0.05</v>
      </c>
      <c r="H15" s="18">
        <v>45406</v>
      </c>
      <c r="I15" s="17">
        <f t="shared" si="0"/>
        <v>781.16599999999994</v>
      </c>
      <c r="J15" s="19">
        <f t="shared" si="1"/>
        <v>-0.36558106727635359</v>
      </c>
      <c r="K15" s="20">
        <f t="shared" ca="1" si="2"/>
        <v>46140.516403240741</v>
      </c>
      <c r="L15" s="15" t="str">
        <f t="shared" si="3"/>
        <v>Apr-24</v>
      </c>
    </row>
    <row r="16" spans="1:26" ht="14.5" x14ac:dyDescent="0.35">
      <c r="A16" s="21" t="s">
        <v>42</v>
      </c>
      <c r="B16" s="21" t="s">
        <v>43</v>
      </c>
      <c r="C16" s="21" t="s">
        <v>25</v>
      </c>
      <c r="D16" s="17" t="s">
        <v>28</v>
      </c>
      <c r="E16" s="17">
        <v>521.66999999999996</v>
      </c>
      <c r="F16" s="17">
        <v>15</v>
      </c>
      <c r="G16" s="17">
        <v>0.15</v>
      </c>
      <c r="H16" s="18">
        <v>45409</v>
      </c>
      <c r="I16" s="17">
        <f t="shared" si="0"/>
        <v>443.41949999999997</v>
      </c>
      <c r="J16" s="19">
        <f t="shared" si="1"/>
        <v>1.8809975655107638</v>
      </c>
      <c r="K16" s="20">
        <f t="shared" ca="1" si="2"/>
        <v>46140.516403240741</v>
      </c>
      <c r="L16" s="15" t="str">
        <f t="shared" si="3"/>
        <v>Apr-24</v>
      </c>
    </row>
    <row r="17" spans="1:12" ht="14.5" x14ac:dyDescent="0.35">
      <c r="A17" s="21" t="s">
        <v>20</v>
      </c>
      <c r="B17" s="21" t="s">
        <v>44</v>
      </c>
      <c r="C17" s="21" t="s">
        <v>21</v>
      </c>
      <c r="D17" s="17" t="s">
        <v>22</v>
      </c>
      <c r="E17" s="17">
        <v>1502.93</v>
      </c>
      <c r="F17" s="17">
        <v>14</v>
      </c>
      <c r="G17" s="17">
        <v>0.2</v>
      </c>
      <c r="H17" s="18">
        <v>45410</v>
      </c>
      <c r="I17" s="17">
        <f t="shared" si="0"/>
        <v>1202.3440000000001</v>
      </c>
      <c r="J17" s="19">
        <f t="shared" si="1"/>
        <v>-0.41608724291883187</v>
      </c>
      <c r="K17" s="20">
        <f t="shared" ca="1" si="2"/>
        <v>46140.516403240741</v>
      </c>
      <c r="L17" s="15" t="str">
        <f t="shared" si="3"/>
        <v>Apr-24</v>
      </c>
    </row>
    <row r="18" spans="1:12" ht="14.5" x14ac:dyDescent="0.35">
      <c r="A18" s="21" t="s">
        <v>45</v>
      </c>
      <c r="B18" s="21" t="s">
        <v>15</v>
      </c>
      <c r="C18" s="21" t="s">
        <v>21</v>
      </c>
      <c r="D18" s="17" t="s">
        <v>13</v>
      </c>
      <c r="E18" s="17">
        <v>877.58</v>
      </c>
      <c r="F18" s="17">
        <v>10</v>
      </c>
      <c r="G18" s="17">
        <v>0.15</v>
      </c>
      <c r="H18" s="18">
        <v>45411</v>
      </c>
      <c r="I18" s="17">
        <f t="shared" si="0"/>
        <v>745.94299999999998</v>
      </c>
      <c r="J18" s="19">
        <f t="shared" si="1"/>
        <v>-0.27448209849814259</v>
      </c>
      <c r="K18" s="20">
        <f t="shared" ca="1" si="2"/>
        <v>46140.516403240741</v>
      </c>
      <c r="L18" s="15" t="str">
        <f t="shared" si="3"/>
        <v>Apr-24</v>
      </c>
    </row>
    <row r="19" spans="1:12" ht="14.5" x14ac:dyDescent="0.35">
      <c r="A19" s="21" t="s">
        <v>29</v>
      </c>
      <c r="B19" s="21" t="s">
        <v>46</v>
      </c>
      <c r="C19" s="21" t="s">
        <v>12</v>
      </c>
      <c r="D19" s="17" t="s">
        <v>13</v>
      </c>
      <c r="E19" s="17">
        <v>636.70000000000005</v>
      </c>
      <c r="F19" s="17">
        <v>4</v>
      </c>
      <c r="G19" s="17">
        <v>0.2</v>
      </c>
      <c r="H19" s="18">
        <v>45411</v>
      </c>
      <c r="I19" s="17">
        <f t="shared" si="0"/>
        <v>509.36</v>
      </c>
      <c r="J19" s="19">
        <f t="shared" si="1"/>
        <v>1.3655410711481075</v>
      </c>
      <c r="K19" s="20">
        <f t="shared" ca="1" si="2"/>
        <v>46140.516403240741</v>
      </c>
      <c r="L19" s="15" t="str">
        <f t="shared" si="3"/>
        <v>Apr-24</v>
      </c>
    </row>
    <row r="20" spans="1:12" ht="14.5" x14ac:dyDescent="0.35">
      <c r="A20" s="21" t="s">
        <v>47</v>
      </c>
      <c r="B20" s="21" t="s">
        <v>48</v>
      </c>
      <c r="C20" s="21" t="s">
        <v>12</v>
      </c>
      <c r="D20" s="17" t="s">
        <v>13</v>
      </c>
      <c r="E20" s="17">
        <v>1506.14</v>
      </c>
      <c r="F20" s="17">
        <v>13</v>
      </c>
      <c r="G20" s="17">
        <v>0.2</v>
      </c>
      <c r="H20" s="18">
        <v>45412</v>
      </c>
      <c r="I20" s="17">
        <f t="shared" si="0"/>
        <v>1204.912</v>
      </c>
      <c r="J20" s="19">
        <f t="shared" si="1"/>
        <v>-0.57173967891431077</v>
      </c>
      <c r="K20" s="20">
        <f t="shared" ca="1" si="2"/>
        <v>46140.516403240741</v>
      </c>
      <c r="L20" s="15" t="str">
        <f t="shared" si="3"/>
        <v>Apr-24</v>
      </c>
    </row>
    <row r="21" spans="1:12" ht="15.75" customHeight="1" x14ac:dyDescent="0.35">
      <c r="A21" s="21" t="s">
        <v>31</v>
      </c>
      <c r="B21" s="21" t="s">
        <v>32</v>
      </c>
      <c r="C21" s="21" t="s">
        <v>35</v>
      </c>
      <c r="D21" s="17" t="s">
        <v>22</v>
      </c>
      <c r="E21" s="17">
        <v>645.02</v>
      </c>
      <c r="F21" s="17">
        <v>4</v>
      </c>
      <c r="G21" s="17">
        <v>0</v>
      </c>
      <c r="H21" s="18">
        <v>45414</v>
      </c>
      <c r="I21" s="17">
        <f t="shared" si="0"/>
        <v>645.02</v>
      </c>
      <c r="J21" s="19">
        <f t="shared" si="1"/>
        <v>0.47793866856841644</v>
      </c>
      <c r="K21" s="20">
        <f t="shared" ca="1" si="2"/>
        <v>46140.516403240741</v>
      </c>
      <c r="L21" s="15" t="str">
        <f t="shared" si="3"/>
        <v>May-24</v>
      </c>
    </row>
    <row r="22" spans="1:12" ht="15.75" customHeight="1" x14ac:dyDescent="0.35">
      <c r="A22" s="21" t="s">
        <v>26</v>
      </c>
      <c r="B22" s="21" t="s">
        <v>49</v>
      </c>
      <c r="C22" s="21" t="s">
        <v>21</v>
      </c>
      <c r="D22" s="17" t="s">
        <v>16</v>
      </c>
      <c r="E22" s="17">
        <v>953.3</v>
      </c>
      <c r="F22" s="17">
        <v>11</v>
      </c>
      <c r="G22" s="17">
        <v>0</v>
      </c>
      <c r="H22" s="18">
        <v>45415</v>
      </c>
      <c r="I22" s="17">
        <f t="shared" si="0"/>
        <v>953.3</v>
      </c>
      <c r="J22" s="19">
        <f t="shared" si="1"/>
        <v>-0.5924053288576524</v>
      </c>
      <c r="K22" s="20">
        <f t="shared" ca="1" si="2"/>
        <v>46140.516403240741</v>
      </c>
      <c r="L22" s="15" t="str">
        <f t="shared" si="3"/>
        <v>May-24</v>
      </c>
    </row>
    <row r="23" spans="1:12" ht="15.75" customHeight="1" x14ac:dyDescent="0.35">
      <c r="A23" s="21" t="s">
        <v>50</v>
      </c>
      <c r="B23" s="21" t="s">
        <v>15</v>
      </c>
      <c r="C23" s="21" t="s">
        <v>25</v>
      </c>
      <c r="D23" s="17" t="s">
        <v>22</v>
      </c>
      <c r="E23" s="17">
        <v>388.56</v>
      </c>
      <c r="F23" s="17">
        <v>14</v>
      </c>
      <c r="G23" s="17">
        <v>0.15</v>
      </c>
      <c r="H23" s="18">
        <v>45416</v>
      </c>
      <c r="I23" s="17">
        <f t="shared" si="0"/>
        <v>330.27600000000001</v>
      </c>
      <c r="J23" s="19">
        <f t="shared" si="1"/>
        <v>0.9126261066501955</v>
      </c>
      <c r="K23" s="20">
        <f t="shared" ca="1" si="2"/>
        <v>46140.516403240741</v>
      </c>
      <c r="L23" s="15" t="str">
        <f t="shared" si="3"/>
        <v>May-24</v>
      </c>
    </row>
    <row r="24" spans="1:12" ht="15.75" customHeight="1" x14ac:dyDescent="0.35">
      <c r="A24" s="21" t="s">
        <v>10</v>
      </c>
      <c r="B24" s="21" t="s">
        <v>32</v>
      </c>
      <c r="C24" s="21" t="s">
        <v>12</v>
      </c>
      <c r="D24" s="17" t="s">
        <v>13</v>
      </c>
      <c r="E24" s="17">
        <v>743.17</v>
      </c>
      <c r="F24" s="17">
        <v>9</v>
      </c>
      <c r="G24" s="17">
        <v>0</v>
      </c>
      <c r="H24" s="18">
        <v>45416</v>
      </c>
      <c r="I24" s="17">
        <f t="shared" si="0"/>
        <v>743.17</v>
      </c>
      <c r="J24" s="19">
        <f t="shared" si="1"/>
        <v>-4.95176070078178E-2</v>
      </c>
      <c r="K24" s="20">
        <f t="shared" ca="1" si="2"/>
        <v>46140.516403240741</v>
      </c>
      <c r="L24" s="15" t="str">
        <f t="shared" si="3"/>
        <v>May-24</v>
      </c>
    </row>
    <row r="25" spans="1:12" ht="15.75" customHeight="1" x14ac:dyDescent="0.35">
      <c r="A25" s="21" t="s">
        <v>41</v>
      </c>
      <c r="B25" s="21" t="s">
        <v>32</v>
      </c>
      <c r="C25" s="21" t="s">
        <v>35</v>
      </c>
      <c r="D25" s="17" t="s">
        <v>22</v>
      </c>
      <c r="E25" s="17">
        <v>706.37</v>
      </c>
      <c r="F25" s="17">
        <v>6</v>
      </c>
      <c r="G25" s="17">
        <v>0</v>
      </c>
      <c r="H25" s="18">
        <v>45416</v>
      </c>
      <c r="I25" s="17">
        <f t="shared" si="0"/>
        <v>706.37</v>
      </c>
      <c r="J25" s="19">
        <f t="shared" si="1"/>
        <v>0.3099508756034372</v>
      </c>
      <c r="K25" s="20">
        <f t="shared" ca="1" si="2"/>
        <v>46140.516403240741</v>
      </c>
      <c r="L25" s="15" t="str">
        <f t="shared" si="3"/>
        <v>May-24</v>
      </c>
    </row>
    <row r="26" spans="1:12" ht="15.75" customHeight="1" x14ac:dyDescent="0.35">
      <c r="A26" s="21" t="s">
        <v>14</v>
      </c>
      <c r="B26" s="21" t="s">
        <v>32</v>
      </c>
      <c r="C26" s="21" t="s">
        <v>35</v>
      </c>
      <c r="D26" s="17" t="s">
        <v>40</v>
      </c>
      <c r="E26" s="17">
        <v>925.31</v>
      </c>
      <c r="F26" s="17">
        <v>8</v>
      </c>
      <c r="G26" s="17">
        <v>0.1</v>
      </c>
      <c r="H26" s="18">
        <v>45418</v>
      </c>
      <c r="I26" s="17">
        <f t="shared" si="0"/>
        <v>832.779</v>
      </c>
      <c r="J26" s="19">
        <f t="shared" si="1"/>
        <v>0.26781294917379034</v>
      </c>
      <c r="K26" s="20">
        <f t="shared" ca="1" si="2"/>
        <v>46140.516403240741</v>
      </c>
      <c r="L26" s="15" t="str">
        <f t="shared" si="3"/>
        <v>May-24</v>
      </c>
    </row>
    <row r="27" spans="1:12" ht="15.75" customHeight="1" x14ac:dyDescent="0.35">
      <c r="A27" s="21" t="s">
        <v>36</v>
      </c>
      <c r="B27" s="21" t="s">
        <v>51</v>
      </c>
      <c r="C27" s="21" t="s">
        <v>21</v>
      </c>
      <c r="D27" s="17" t="s">
        <v>22</v>
      </c>
      <c r="E27" s="17">
        <v>1173.1199999999999</v>
      </c>
      <c r="F27" s="17">
        <v>18</v>
      </c>
      <c r="G27" s="17">
        <v>0</v>
      </c>
      <c r="H27" s="18">
        <v>45418</v>
      </c>
      <c r="I27" s="17">
        <f t="shared" si="0"/>
        <v>1173.1199999999999</v>
      </c>
      <c r="J27" s="19">
        <f t="shared" si="1"/>
        <v>-0.42415098199672663</v>
      </c>
      <c r="K27" s="20">
        <f t="shared" ca="1" si="2"/>
        <v>46140.516403240741</v>
      </c>
      <c r="L27" s="15" t="str">
        <f t="shared" si="3"/>
        <v>May-24</v>
      </c>
    </row>
    <row r="28" spans="1:12" ht="15.75" customHeight="1" x14ac:dyDescent="0.35">
      <c r="A28" s="21" t="s">
        <v>23</v>
      </c>
      <c r="B28" s="21" t="s">
        <v>52</v>
      </c>
      <c r="C28" s="21" t="s">
        <v>25</v>
      </c>
      <c r="D28" s="17" t="s">
        <v>28</v>
      </c>
      <c r="E28" s="17">
        <v>675.54</v>
      </c>
      <c r="F28" s="17">
        <v>17</v>
      </c>
      <c r="G28" s="17">
        <v>0</v>
      </c>
      <c r="H28" s="18">
        <v>45420</v>
      </c>
      <c r="I28" s="17">
        <f t="shared" si="0"/>
        <v>675.54</v>
      </c>
      <c r="J28" s="19">
        <f t="shared" si="1"/>
        <v>0.3901323385735857</v>
      </c>
      <c r="K28" s="20">
        <f t="shared" ca="1" si="2"/>
        <v>46140.516403240741</v>
      </c>
      <c r="L28" s="15" t="str">
        <f t="shared" si="3"/>
        <v>May-24</v>
      </c>
    </row>
    <row r="29" spans="1:12" ht="15.75" customHeight="1" x14ac:dyDescent="0.35">
      <c r="A29" s="21" t="s">
        <v>26</v>
      </c>
      <c r="B29" s="21" t="s">
        <v>15</v>
      </c>
      <c r="C29" s="21" t="s">
        <v>35</v>
      </c>
      <c r="D29" s="17" t="s">
        <v>13</v>
      </c>
      <c r="E29" s="17">
        <v>939.09</v>
      </c>
      <c r="F29" s="17">
        <v>2</v>
      </c>
      <c r="G29" s="17">
        <v>0.05</v>
      </c>
      <c r="H29" s="18">
        <v>45422</v>
      </c>
      <c r="I29" s="17">
        <f t="shared" si="0"/>
        <v>892.13549999999998</v>
      </c>
      <c r="J29" s="19">
        <f t="shared" si="1"/>
        <v>4.7120084336964504E-2</v>
      </c>
      <c r="K29" s="20">
        <f t="shared" ca="1" si="2"/>
        <v>46140.516403240741</v>
      </c>
      <c r="L29" s="15" t="str">
        <f t="shared" si="3"/>
        <v>May-24</v>
      </c>
    </row>
    <row r="30" spans="1:12" ht="15.75" customHeight="1" x14ac:dyDescent="0.35">
      <c r="A30" s="21" t="s">
        <v>53</v>
      </c>
      <c r="B30" s="21" t="s">
        <v>54</v>
      </c>
      <c r="C30" s="21" t="s">
        <v>19</v>
      </c>
      <c r="D30" s="17" t="s">
        <v>40</v>
      </c>
      <c r="E30" s="17">
        <v>983.34</v>
      </c>
      <c r="F30" s="17">
        <v>19</v>
      </c>
      <c r="G30" s="17">
        <v>0.1</v>
      </c>
      <c r="H30" s="18">
        <v>45426</v>
      </c>
      <c r="I30" s="17">
        <f t="shared" si="0"/>
        <v>885.00600000000009</v>
      </c>
      <c r="J30" s="19">
        <f t="shared" si="1"/>
        <v>-0.18521569345292574</v>
      </c>
      <c r="K30" s="20">
        <f t="shared" ca="1" si="2"/>
        <v>46140.516403240741</v>
      </c>
      <c r="L30" s="15" t="str">
        <f t="shared" si="3"/>
        <v>May-24</v>
      </c>
    </row>
    <row r="31" spans="1:12" ht="15.75" customHeight="1" x14ac:dyDescent="0.35">
      <c r="A31" s="21" t="s">
        <v>53</v>
      </c>
      <c r="B31" s="21" t="s">
        <v>24</v>
      </c>
      <c r="C31" s="21" t="s">
        <v>21</v>
      </c>
      <c r="D31" s="17" t="s">
        <v>22</v>
      </c>
      <c r="E31" s="17">
        <v>801.21</v>
      </c>
      <c r="F31" s="17">
        <v>3</v>
      </c>
      <c r="G31" s="17">
        <v>0.2</v>
      </c>
      <c r="H31" s="18">
        <v>45426</v>
      </c>
      <c r="I31" s="17">
        <f t="shared" si="0"/>
        <v>640.96800000000007</v>
      </c>
      <c r="J31" s="19">
        <f t="shared" si="1"/>
        <v>0.81064889354850789</v>
      </c>
      <c r="K31" s="20">
        <f t="shared" ca="1" si="2"/>
        <v>46140.516403240741</v>
      </c>
      <c r="L31" s="15" t="str">
        <f t="shared" si="3"/>
        <v>May-24</v>
      </c>
    </row>
    <row r="32" spans="1:12" ht="15.75" customHeight="1" x14ac:dyDescent="0.35">
      <c r="A32" s="21" t="s">
        <v>55</v>
      </c>
      <c r="B32" s="21" t="s">
        <v>56</v>
      </c>
      <c r="C32" s="21" t="s">
        <v>25</v>
      </c>
      <c r="D32" s="17" t="s">
        <v>22</v>
      </c>
      <c r="E32" s="17">
        <v>1450.71</v>
      </c>
      <c r="F32" s="17">
        <v>5</v>
      </c>
      <c r="G32" s="17">
        <v>0.1</v>
      </c>
      <c r="H32" s="18">
        <v>45427</v>
      </c>
      <c r="I32" s="17">
        <f t="shared" si="0"/>
        <v>1305.6390000000001</v>
      </c>
      <c r="J32" s="19">
        <f t="shared" si="1"/>
        <v>-0.29468329300825113</v>
      </c>
      <c r="K32" s="20">
        <f t="shared" ca="1" si="2"/>
        <v>46140.516403240741</v>
      </c>
      <c r="L32" s="15" t="str">
        <f t="shared" si="3"/>
        <v>May-24</v>
      </c>
    </row>
    <row r="33" spans="1:12" ht="15.75" customHeight="1" x14ac:dyDescent="0.35">
      <c r="A33" s="21" t="s">
        <v>50</v>
      </c>
      <c r="B33" s="21" t="s">
        <v>57</v>
      </c>
      <c r="C33" s="21" t="s">
        <v>35</v>
      </c>
      <c r="D33" s="17" t="s">
        <v>13</v>
      </c>
      <c r="E33" s="17">
        <v>1023.21</v>
      </c>
      <c r="F33" s="17">
        <v>18</v>
      </c>
      <c r="G33" s="17">
        <v>0.05</v>
      </c>
      <c r="H33" s="18">
        <v>45428</v>
      </c>
      <c r="I33" s="17">
        <f t="shared" si="0"/>
        <v>972.04950000000008</v>
      </c>
      <c r="J33" s="19">
        <f t="shared" si="1"/>
        <v>-0.16564537094047166</v>
      </c>
      <c r="K33" s="20">
        <f t="shared" ca="1" si="2"/>
        <v>46140.516403240741</v>
      </c>
      <c r="L33" s="15" t="str">
        <f t="shared" si="3"/>
        <v>May-24</v>
      </c>
    </row>
    <row r="34" spans="1:12" ht="15.75" customHeight="1" x14ac:dyDescent="0.35">
      <c r="A34" s="21" t="s">
        <v>29</v>
      </c>
      <c r="B34" s="21" t="s">
        <v>48</v>
      </c>
      <c r="C34" s="21" t="s">
        <v>12</v>
      </c>
      <c r="D34" s="17" t="s">
        <v>28</v>
      </c>
      <c r="E34" s="17">
        <v>853.72</v>
      </c>
      <c r="F34" s="17">
        <v>5</v>
      </c>
      <c r="G34" s="17">
        <v>0.15</v>
      </c>
      <c r="H34" s="18">
        <v>45428</v>
      </c>
      <c r="I34" s="17">
        <f t="shared" si="0"/>
        <v>725.66200000000003</v>
      </c>
      <c r="J34" s="19">
        <f t="shared" si="1"/>
        <v>0.13373237126926857</v>
      </c>
      <c r="K34" s="20">
        <f t="shared" ca="1" si="2"/>
        <v>46140.516403240741</v>
      </c>
      <c r="L34" s="15" t="str">
        <f t="shared" si="3"/>
        <v>May-24</v>
      </c>
    </row>
    <row r="35" spans="1:12" ht="15.75" customHeight="1" x14ac:dyDescent="0.35">
      <c r="A35" s="21" t="s">
        <v>58</v>
      </c>
      <c r="B35" s="21" t="s">
        <v>44</v>
      </c>
      <c r="C35" s="21" t="s">
        <v>21</v>
      </c>
      <c r="D35" s="17" t="s">
        <v>22</v>
      </c>
      <c r="E35" s="17">
        <v>967.89</v>
      </c>
      <c r="F35" s="17">
        <v>10</v>
      </c>
      <c r="G35" s="17">
        <v>0.1</v>
      </c>
      <c r="H35" s="18">
        <v>45429</v>
      </c>
      <c r="I35" s="17">
        <f t="shared" si="0"/>
        <v>871.101</v>
      </c>
      <c r="J35" s="19">
        <f t="shared" si="1"/>
        <v>0.24074016675448667</v>
      </c>
      <c r="K35" s="20">
        <f t="shared" ca="1" si="2"/>
        <v>46140.516403240741</v>
      </c>
      <c r="L35" s="15" t="str">
        <f t="shared" si="3"/>
        <v>May-24</v>
      </c>
    </row>
    <row r="36" spans="1:12" ht="15.75" customHeight="1" x14ac:dyDescent="0.35">
      <c r="A36" s="21" t="s">
        <v>59</v>
      </c>
      <c r="B36" s="21" t="s">
        <v>54</v>
      </c>
      <c r="C36" s="21" t="s">
        <v>25</v>
      </c>
      <c r="D36" s="17" t="s">
        <v>40</v>
      </c>
      <c r="E36" s="17">
        <v>1200.9000000000001</v>
      </c>
      <c r="F36" s="17">
        <v>14</v>
      </c>
      <c r="G36" s="17">
        <v>0.05</v>
      </c>
      <c r="H36" s="18">
        <v>45429</v>
      </c>
      <c r="I36" s="17">
        <f t="shared" si="0"/>
        <v>1140.855</v>
      </c>
      <c r="J36" s="19">
        <f t="shared" si="1"/>
        <v>-0.60664501623782163</v>
      </c>
      <c r="K36" s="20">
        <f t="shared" ca="1" si="2"/>
        <v>46140.516403240741</v>
      </c>
      <c r="L36" s="15" t="str">
        <f t="shared" si="3"/>
        <v>May-24</v>
      </c>
    </row>
    <row r="37" spans="1:12" ht="15.75" customHeight="1" x14ac:dyDescent="0.35">
      <c r="A37" s="21" t="s">
        <v>14</v>
      </c>
      <c r="B37" s="21" t="s">
        <v>27</v>
      </c>
      <c r="C37" s="21" t="s">
        <v>12</v>
      </c>
      <c r="D37" s="17" t="s">
        <v>13</v>
      </c>
      <c r="E37" s="17">
        <v>472.38</v>
      </c>
      <c r="F37" s="17">
        <v>12</v>
      </c>
      <c r="G37" s="17">
        <v>0.2</v>
      </c>
      <c r="H37" s="18">
        <v>45429</v>
      </c>
      <c r="I37" s="17">
        <f t="shared" si="0"/>
        <v>377.904</v>
      </c>
      <c r="J37" s="19">
        <f t="shared" si="1"/>
        <v>0.78017697616325832</v>
      </c>
      <c r="K37" s="20">
        <f t="shared" ca="1" si="2"/>
        <v>46140.516403240741</v>
      </c>
      <c r="L37" s="15" t="str">
        <f t="shared" si="3"/>
        <v>May-24</v>
      </c>
    </row>
    <row r="38" spans="1:12" ht="15.75" customHeight="1" x14ac:dyDescent="0.35">
      <c r="A38" s="21" t="s">
        <v>10</v>
      </c>
      <c r="B38" s="21" t="s">
        <v>56</v>
      </c>
      <c r="C38" s="21" t="s">
        <v>19</v>
      </c>
      <c r="D38" s="17" t="s">
        <v>40</v>
      </c>
      <c r="E38" s="17">
        <v>840.92</v>
      </c>
      <c r="F38" s="17">
        <v>9</v>
      </c>
      <c r="G38" s="17">
        <v>0.05</v>
      </c>
      <c r="H38" s="18">
        <v>45429</v>
      </c>
      <c r="I38" s="17">
        <f t="shared" si="0"/>
        <v>798.87399999999991</v>
      </c>
      <c r="J38" s="19">
        <f t="shared" si="1"/>
        <v>0.67680635494458452</v>
      </c>
      <c r="K38" s="20">
        <f t="shared" ca="1" si="2"/>
        <v>46140.516403240741</v>
      </c>
      <c r="L38" s="15" t="str">
        <f t="shared" si="3"/>
        <v>May-24</v>
      </c>
    </row>
    <row r="39" spans="1:12" ht="15.75" customHeight="1" x14ac:dyDescent="0.35">
      <c r="A39" s="21" t="s">
        <v>53</v>
      </c>
      <c r="B39" s="21" t="s">
        <v>49</v>
      </c>
      <c r="C39" s="21" t="s">
        <v>35</v>
      </c>
      <c r="D39" s="17" t="s">
        <v>28</v>
      </c>
      <c r="E39" s="17">
        <v>1410.06</v>
      </c>
      <c r="F39" s="17">
        <v>11</v>
      </c>
      <c r="G39" s="17">
        <v>0.05</v>
      </c>
      <c r="H39" s="18">
        <v>45434</v>
      </c>
      <c r="I39" s="17">
        <f t="shared" si="0"/>
        <v>1339.557</v>
      </c>
      <c r="J39" s="19">
        <f t="shared" si="1"/>
        <v>-0.4517325503879267</v>
      </c>
      <c r="K39" s="20">
        <f t="shared" ca="1" si="2"/>
        <v>46140.516403240741</v>
      </c>
      <c r="L39" s="15" t="str">
        <f t="shared" si="3"/>
        <v>May-24</v>
      </c>
    </row>
    <row r="40" spans="1:12" ht="15.75" customHeight="1" x14ac:dyDescent="0.35">
      <c r="A40" s="21" t="s">
        <v>45</v>
      </c>
      <c r="B40" s="21" t="s">
        <v>60</v>
      </c>
      <c r="C40" s="21" t="s">
        <v>35</v>
      </c>
      <c r="D40" s="17" t="s">
        <v>28</v>
      </c>
      <c r="E40" s="17">
        <v>773.09</v>
      </c>
      <c r="F40" s="17">
        <v>13</v>
      </c>
      <c r="G40" s="17">
        <v>0.15</v>
      </c>
      <c r="H40" s="18">
        <v>45434</v>
      </c>
      <c r="I40" s="17">
        <f t="shared" si="0"/>
        <v>657.12650000000008</v>
      </c>
      <c r="J40" s="19">
        <f t="shared" si="1"/>
        <v>-0.24920772484445547</v>
      </c>
      <c r="K40" s="20">
        <f t="shared" ca="1" si="2"/>
        <v>46140.516403240741</v>
      </c>
      <c r="L40" s="15" t="str">
        <f t="shared" si="3"/>
        <v>May-24</v>
      </c>
    </row>
    <row r="41" spans="1:12" ht="15.75" customHeight="1" x14ac:dyDescent="0.35">
      <c r="A41" s="21" t="s">
        <v>61</v>
      </c>
      <c r="B41" s="21" t="s">
        <v>62</v>
      </c>
      <c r="C41" s="21" t="s">
        <v>19</v>
      </c>
      <c r="D41" s="17" t="s">
        <v>13</v>
      </c>
      <c r="E41" s="17">
        <v>580.42999999999995</v>
      </c>
      <c r="F41" s="17">
        <v>19</v>
      </c>
      <c r="G41" s="17">
        <v>0.15</v>
      </c>
      <c r="H41" s="18">
        <v>45435</v>
      </c>
      <c r="I41" s="17">
        <f t="shared" si="0"/>
        <v>493.36549999999994</v>
      </c>
      <c r="J41" s="19">
        <f t="shared" si="1"/>
        <v>0.98337439484520117</v>
      </c>
      <c r="K41" s="20">
        <f t="shared" ca="1" si="2"/>
        <v>46140.516403240741</v>
      </c>
      <c r="L41" s="15" t="str">
        <f t="shared" si="3"/>
        <v>May-24</v>
      </c>
    </row>
    <row r="42" spans="1:12" ht="15.75" customHeight="1" x14ac:dyDescent="0.35">
      <c r="A42" s="21" t="s">
        <v>20</v>
      </c>
      <c r="B42" s="21" t="s">
        <v>43</v>
      </c>
      <c r="C42" s="21" t="s">
        <v>21</v>
      </c>
      <c r="D42" s="17" t="s">
        <v>13</v>
      </c>
      <c r="E42" s="17">
        <v>1151.21</v>
      </c>
      <c r="F42" s="17">
        <v>15</v>
      </c>
      <c r="G42" s="17">
        <v>0.1</v>
      </c>
      <c r="H42" s="18">
        <v>45445</v>
      </c>
      <c r="I42" s="17">
        <f t="shared" si="0"/>
        <v>1036.0889999999999</v>
      </c>
      <c r="J42" s="19">
        <f t="shared" si="1"/>
        <v>-0.10878119543784368</v>
      </c>
      <c r="K42" s="20">
        <f t="shared" ca="1" si="2"/>
        <v>46140.516403240741</v>
      </c>
      <c r="L42" s="15" t="str">
        <f t="shared" si="3"/>
        <v>Jun-24</v>
      </c>
    </row>
    <row r="43" spans="1:12" ht="15.75" customHeight="1" x14ac:dyDescent="0.35">
      <c r="A43" s="21" t="s">
        <v>53</v>
      </c>
      <c r="B43" s="21" t="s">
        <v>24</v>
      </c>
      <c r="C43" s="21" t="s">
        <v>35</v>
      </c>
      <c r="D43" s="17" t="s">
        <v>40</v>
      </c>
      <c r="E43" s="17">
        <v>1025.98</v>
      </c>
      <c r="F43" s="17">
        <v>5</v>
      </c>
      <c r="G43" s="17">
        <v>0.2</v>
      </c>
      <c r="H43" s="18">
        <v>45447</v>
      </c>
      <c r="I43" s="17">
        <f t="shared" si="0"/>
        <v>820.78399999999999</v>
      </c>
      <c r="J43" s="19">
        <f t="shared" si="1"/>
        <v>-0.45766974015088019</v>
      </c>
      <c r="K43" s="20">
        <f t="shared" ca="1" si="2"/>
        <v>46140.516403240741</v>
      </c>
      <c r="L43" s="15" t="str">
        <f t="shared" si="3"/>
        <v>Jun-24</v>
      </c>
    </row>
    <row r="44" spans="1:12" ht="15.75" customHeight="1" x14ac:dyDescent="0.35">
      <c r="A44" s="21" t="s">
        <v>41</v>
      </c>
      <c r="B44" s="21" t="s">
        <v>57</v>
      </c>
      <c r="C44" s="21" t="s">
        <v>19</v>
      </c>
      <c r="D44" s="17" t="s">
        <v>40</v>
      </c>
      <c r="E44" s="17">
        <v>556.41999999999996</v>
      </c>
      <c r="F44" s="17">
        <v>11</v>
      </c>
      <c r="G44" s="17">
        <v>0.15</v>
      </c>
      <c r="H44" s="18">
        <v>45447</v>
      </c>
      <c r="I44" s="17">
        <f t="shared" si="0"/>
        <v>472.95699999999999</v>
      </c>
      <c r="J44" s="19">
        <f t="shared" si="1"/>
        <v>0.51117860608892574</v>
      </c>
      <c r="K44" s="20">
        <f t="shared" ca="1" si="2"/>
        <v>46140.516403240741</v>
      </c>
      <c r="L44" s="15" t="str">
        <f t="shared" si="3"/>
        <v>Jun-24</v>
      </c>
    </row>
    <row r="45" spans="1:12" ht="15.75" customHeight="1" x14ac:dyDescent="0.35">
      <c r="A45" s="21" t="s">
        <v>58</v>
      </c>
      <c r="B45" s="21" t="s">
        <v>24</v>
      </c>
      <c r="C45" s="21" t="s">
        <v>35</v>
      </c>
      <c r="D45" s="17" t="s">
        <v>13</v>
      </c>
      <c r="E45" s="17">
        <v>840.85</v>
      </c>
      <c r="F45" s="17">
        <v>19</v>
      </c>
      <c r="G45" s="17">
        <v>0.1</v>
      </c>
      <c r="H45" s="18">
        <v>45448</v>
      </c>
      <c r="I45" s="17">
        <f t="shared" si="0"/>
        <v>756.76499999999999</v>
      </c>
      <c r="J45" s="19">
        <f t="shared" si="1"/>
        <v>0.45953499435095435</v>
      </c>
      <c r="K45" s="20">
        <f t="shared" ca="1" si="2"/>
        <v>46140.516403240741</v>
      </c>
      <c r="L45" s="15" t="str">
        <f t="shared" si="3"/>
        <v>Jun-24</v>
      </c>
    </row>
    <row r="46" spans="1:12" ht="15.75" customHeight="1" x14ac:dyDescent="0.35">
      <c r="A46" s="21" t="s">
        <v>31</v>
      </c>
      <c r="B46" s="21" t="s">
        <v>62</v>
      </c>
      <c r="C46" s="21" t="s">
        <v>25</v>
      </c>
      <c r="D46" s="17" t="s">
        <v>28</v>
      </c>
      <c r="E46" s="17">
        <v>1227.25</v>
      </c>
      <c r="F46" s="17">
        <v>12</v>
      </c>
      <c r="G46" s="17">
        <v>0.15</v>
      </c>
      <c r="H46" s="18">
        <v>45448</v>
      </c>
      <c r="I46" s="17">
        <f t="shared" si="0"/>
        <v>1043.1624999999999</v>
      </c>
      <c r="J46" s="19">
        <f t="shared" si="1"/>
        <v>-0.3019352210226115</v>
      </c>
      <c r="K46" s="20">
        <f t="shared" ca="1" si="2"/>
        <v>46140.516403240741</v>
      </c>
      <c r="L46" s="15" t="str">
        <f t="shared" si="3"/>
        <v>Jun-24</v>
      </c>
    </row>
    <row r="47" spans="1:12" ht="15.75" customHeight="1" x14ac:dyDescent="0.35">
      <c r="A47" s="21" t="s">
        <v>17</v>
      </c>
      <c r="B47" s="21" t="s">
        <v>63</v>
      </c>
      <c r="C47" s="21" t="s">
        <v>35</v>
      </c>
      <c r="D47" s="17" t="s">
        <v>22</v>
      </c>
      <c r="E47" s="17">
        <v>856.7</v>
      </c>
      <c r="F47" s="17">
        <v>2</v>
      </c>
      <c r="G47" s="17">
        <v>0</v>
      </c>
      <c r="H47" s="18">
        <v>45449</v>
      </c>
      <c r="I47" s="17">
        <f t="shared" si="0"/>
        <v>856.7</v>
      </c>
      <c r="J47" s="19">
        <f t="shared" si="1"/>
        <v>0.4303957044472978</v>
      </c>
      <c r="K47" s="20">
        <f t="shared" ca="1" si="2"/>
        <v>46140.516403240741</v>
      </c>
      <c r="L47" s="15" t="str">
        <f t="shared" si="3"/>
        <v>Jun-24</v>
      </c>
    </row>
    <row r="48" spans="1:12" ht="15.75" customHeight="1" x14ac:dyDescent="0.35">
      <c r="A48" s="21" t="s">
        <v>55</v>
      </c>
      <c r="B48" s="21" t="s">
        <v>57</v>
      </c>
      <c r="C48" s="21" t="s">
        <v>35</v>
      </c>
      <c r="D48" s="17" t="s">
        <v>40</v>
      </c>
      <c r="E48" s="17">
        <v>1225.42</v>
      </c>
      <c r="F48" s="17">
        <v>8</v>
      </c>
      <c r="G48" s="17">
        <v>0.15</v>
      </c>
      <c r="H48" s="18">
        <v>45449</v>
      </c>
      <c r="I48" s="17">
        <f t="shared" si="0"/>
        <v>1041.607</v>
      </c>
      <c r="J48" s="19">
        <f t="shared" si="1"/>
        <v>-0.18267206345579476</v>
      </c>
      <c r="K48" s="20">
        <f t="shared" ca="1" si="2"/>
        <v>46140.516403240741</v>
      </c>
      <c r="L48" s="15" t="str">
        <f t="shared" si="3"/>
        <v>Jun-24</v>
      </c>
    </row>
    <row r="49" spans="1:12" ht="15.75" customHeight="1" x14ac:dyDescent="0.35">
      <c r="A49" s="21" t="s">
        <v>64</v>
      </c>
      <c r="B49" s="21" t="s">
        <v>32</v>
      </c>
      <c r="C49" s="21" t="s">
        <v>25</v>
      </c>
      <c r="D49" s="17" t="s">
        <v>40</v>
      </c>
      <c r="E49" s="17">
        <v>1001.57</v>
      </c>
      <c r="F49" s="17">
        <v>12</v>
      </c>
      <c r="G49" s="17">
        <v>0</v>
      </c>
      <c r="H49" s="18">
        <v>45450</v>
      </c>
      <c r="I49" s="17">
        <f t="shared" si="0"/>
        <v>1001.57</v>
      </c>
      <c r="J49" s="19">
        <f t="shared" si="1"/>
        <v>0.18498956638078201</v>
      </c>
      <c r="K49" s="20">
        <f t="shared" ca="1" si="2"/>
        <v>46140.516403240741</v>
      </c>
      <c r="L49" s="15" t="str">
        <f t="shared" si="3"/>
        <v>Jun-24</v>
      </c>
    </row>
    <row r="50" spans="1:12" ht="15.75" customHeight="1" x14ac:dyDescent="0.35">
      <c r="A50" s="21" t="s">
        <v>58</v>
      </c>
      <c r="B50" s="21" t="s">
        <v>27</v>
      </c>
      <c r="C50" s="21" t="s">
        <v>19</v>
      </c>
      <c r="D50" s="17" t="s">
        <v>28</v>
      </c>
      <c r="E50" s="17">
        <v>1186.8499999999999</v>
      </c>
      <c r="F50" s="17">
        <v>19</v>
      </c>
      <c r="G50" s="17">
        <v>0.2</v>
      </c>
      <c r="H50" s="18">
        <v>45451</v>
      </c>
      <c r="I50" s="17">
        <f t="shared" si="0"/>
        <v>949.4799999999999</v>
      </c>
      <c r="J50" s="19">
        <f t="shared" si="1"/>
        <v>-0.34663184058642615</v>
      </c>
      <c r="K50" s="20">
        <f t="shared" ca="1" si="2"/>
        <v>46140.516403240741</v>
      </c>
      <c r="L50" s="15" t="str">
        <f t="shared" si="3"/>
        <v>Jun-24</v>
      </c>
    </row>
    <row r="51" spans="1:12" ht="15.75" customHeight="1" x14ac:dyDescent="0.35">
      <c r="A51" s="21" t="s">
        <v>45</v>
      </c>
      <c r="B51" s="21" t="s">
        <v>52</v>
      </c>
      <c r="C51" s="21" t="s">
        <v>21</v>
      </c>
      <c r="D51" s="17" t="s">
        <v>22</v>
      </c>
      <c r="E51" s="17">
        <v>775.45</v>
      </c>
      <c r="F51" s="17">
        <v>6</v>
      </c>
      <c r="G51" s="17">
        <v>0.1</v>
      </c>
      <c r="H51" s="18">
        <v>45457</v>
      </c>
      <c r="I51" s="17">
        <f t="shared" si="0"/>
        <v>697.90499999999997</v>
      </c>
      <c r="J51" s="19">
        <f t="shared" si="1"/>
        <v>0.3172609452575923</v>
      </c>
      <c r="K51" s="20">
        <f t="shared" ca="1" si="2"/>
        <v>46140.516403240741</v>
      </c>
      <c r="L51" s="15" t="str">
        <f t="shared" si="3"/>
        <v>Jun-24</v>
      </c>
    </row>
    <row r="52" spans="1:12" ht="15.75" customHeight="1" x14ac:dyDescent="0.35">
      <c r="A52" s="21" t="s">
        <v>26</v>
      </c>
      <c r="B52" s="21" t="s">
        <v>34</v>
      </c>
      <c r="C52" s="21" t="s">
        <v>21</v>
      </c>
      <c r="D52" s="17" t="s">
        <v>22</v>
      </c>
      <c r="E52" s="17">
        <v>1021.47</v>
      </c>
      <c r="F52" s="17">
        <v>6</v>
      </c>
      <c r="G52" s="17">
        <v>0.05</v>
      </c>
      <c r="H52" s="18">
        <v>45461</v>
      </c>
      <c r="I52" s="17">
        <f t="shared" si="0"/>
        <v>970.39650000000006</v>
      </c>
      <c r="J52" s="19">
        <f t="shared" si="1"/>
        <v>0.20083800796890741</v>
      </c>
      <c r="K52" s="20">
        <f t="shared" ca="1" si="2"/>
        <v>46140.516403240741</v>
      </c>
      <c r="L52" s="15" t="str">
        <f t="shared" si="3"/>
        <v>Jun-24</v>
      </c>
    </row>
    <row r="53" spans="1:12" ht="15.75" customHeight="1" x14ac:dyDescent="0.35">
      <c r="A53" s="21" t="s">
        <v>59</v>
      </c>
      <c r="B53" s="21" t="s">
        <v>24</v>
      </c>
      <c r="C53" s="21" t="s">
        <v>21</v>
      </c>
      <c r="D53" s="17" t="s">
        <v>16</v>
      </c>
      <c r="E53" s="17">
        <v>1226.6199999999999</v>
      </c>
      <c r="F53" s="17">
        <v>7</v>
      </c>
      <c r="G53" s="17">
        <v>0.1</v>
      </c>
      <c r="H53" s="18">
        <v>45463</v>
      </c>
      <c r="I53" s="17">
        <f t="shared" si="0"/>
        <v>1103.9579999999999</v>
      </c>
      <c r="J53" s="19">
        <f t="shared" si="1"/>
        <v>-0.11388204986059239</v>
      </c>
      <c r="K53" s="20">
        <f t="shared" ca="1" si="2"/>
        <v>46140.516403240741</v>
      </c>
      <c r="L53" s="15" t="str">
        <f t="shared" si="3"/>
        <v>Jun-24</v>
      </c>
    </row>
    <row r="54" spans="1:12" ht="15.75" customHeight="1" x14ac:dyDescent="0.35">
      <c r="A54" s="21" t="s">
        <v>23</v>
      </c>
      <c r="B54" s="21" t="s">
        <v>65</v>
      </c>
      <c r="C54" s="21" t="s">
        <v>21</v>
      </c>
      <c r="D54" s="17" t="s">
        <v>28</v>
      </c>
      <c r="E54" s="17">
        <v>1086.93</v>
      </c>
      <c r="F54" s="17">
        <v>2</v>
      </c>
      <c r="G54" s="17">
        <v>0</v>
      </c>
      <c r="H54" s="18">
        <v>45464</v>
      </c>
      <c r="I54" s="17">
        <f t="shared" si="0"/>
        <v>1086.93</v>
      </c>
      <c r="J54" s="19">
        <f t="shared" si="1"/>
        <v>-0.13251083326433172</v>
      </c>
      <c r="K54" s="20">
        <f t="shared" ca="1" si="2"/>
        <v>46140.516403240741</v>
      </c>
      <c r="L54" s="15" t="str">
        <f t="shared" si="3"/>
        <v>Jun-24</v>
      </c>
    </row>
    <row r="55" spans="1:12" ht="15.75" customHeight="1" x14ac:dyDescent="0.35">
      <c r="A55" s="21" t="s">
        <v>66</v>
      </c>
      <c r="B55" s="21" t="s">
        <v>49</v>
      </c>
      <c r="C55" s="21" t="s">
        <v>12</v>
      </c>
      <c r="D55" s="17" t="s">
        <v>13</v>
      </c>
      <c r="E55" s="17">
        <v>942.9</v>
      </c>
      <c r="F55" s="17">
        <v>18</v>
      </c>
      <c r="G55" s="17">
        <v>0.1</v>
      </c>
      <c r="H55" s="18">
        <v>45466</v>
      </c>
      <c r="I55" s="17">
        <f t="shared" si="0"/>
        <v>848.61</v>
      </c>
      <c r="J55" s="19">
        <f t="shared" si="1"/>
        <v>-0.13161522961077529</v>
      </c>
      <c r="K55" s="20">
        <f t="shared" ca="1" si="2"/>
        <v>46140.516403240741</v>
      </c>
      <c r="L55" s="15" t="str">
        <f t="shared" si="3"/>
        <v>Jun-24</v>
      </c>
    </row>
    <row r="56" spans="1:12" ht="15.75" customHeight="1" x14ac:dyDescent="0.35">
      <c r="A56" s="21" t="s">
        <v>33</v>
      </c>
      <c r="B56" s="21" t="s">
        <v>39</v>
      </c>
      <c r="C56" s="21" t="s">
        <v>25</v>
      </c>
      <c r="D56" s="17" t="s">
        <v>22</v>
      </c>
      <c r="E56" s="17">
        <v>818.8</v>
      </c>
      <c r="F56" s="17">
        <v>15</v>
      </c>
      <c r="G56" s="17">
        <v>0.15</v>
      </c>
      <c r="H56" s="18">
        <v>45468</v>
      </c>
      <c r="I56" s="17">
        <f t="shared" si="0"/>
        <v>695.98</v>
      </c>
      <c r="J56" s="19">
        <f t="shared" si="1"/>
        <v>0.12242305813385444</v>
      </c>
      <c r="K56" s="20">
        <f t="shared" ca="1" si="2"/>
        <v>46140.516403240741</v>
      </c>
      <c r="L56" s="15" t="str">
        <f t="shared" si="3"/>
        <v>Jun-24</v>
      </c>
    </row>
    <row r="57" spans="1:12" ht="15.75" customHeight="1" x14ac:dyDescent="0.35">
      <c r="A57" s="21" t="s">
        <v>20</v>
      </c>
      <c r="B57" s="21" t="s">
        <v>15</v>
      </c>
      <c r="C57" s="21" t="s">
        <v>21</v>
      </c>
      <c r="D57" s="17" t="s">
        <v>28</v>
      </c>
      <c r="E57" s="17">
        <v>919.04</v>
      </c>
      <c r="F57" s="17">
        <v>10</v>
      </c>
      <c r="G57" s="17">
        <v>0.2</v>
      </c>
      <c r="H57" s="18">
        <v>45468</v>
      </c>
      <c r="I57" s="17">
        <f t="shared" si="0"/>
        <v>735.23199999999997</v>
      </c>
      <c r="J57" s="19">
        <f t="shared" si="1"/>
        <v>5.8996344011142093E-2</v>
      </c>
      <c r="K57" s="20">
        <f t="shared" ca="1" si="2"/>
        <v>46140.516403240741</v>
      </c>
      <c r="L57" s="15" t="str">
        <f t="shared" si="3"/>
        <v>Jun-24</v>
      </c>
    </row>
    <row r="58" spans="1:12" ht="15.75" customHeight="1" x14ac:dyDescent="0.35">
      <c r="A58" s="21" t="s">
        <v>23</v>
      </c>
      <c r="B58" s="21" t="s">
        <v>67</v>
      </c>
      <c r="C58" s="21" t="s">
        <v>35</v>
      </c>
      <c r="D58" s="17" t="s">
        <v>13</v>
      </c>
      <c r="E58" s="17">
        <v>973.26</v>
      </c>
      <c r="F58" s="17">
        <v>11</v>
      </c>
      <c r="G58" s="17">
        <v>0</v>
      </c>
      <c r="H58" s="18">
        <v>45470</v>
      </c>
      <c r="I58" s="17">
        <f t="shared" si="0"/>
        <v>973.26</v>
      </c>
      <c r="J58" s="19">
        <f t="shared" si="1"/>
        <v>-0.23801450794237919</v>
      </c>
      <c r="K58" s="20">
        <f t="shared" ca="1" si="2"/>
        <v>46140.516403240741</v>
      </c>
      <c r="L58" s="15" t="str">
        <f t="shared" si="3"/>
        <v>Jun-24</v>
      </c>
    </row>
    <row r="59" spans="1:12" ht="15.75" customHeight="1" x14ac:dyDescent="0.35">
      <c r="A59" s="21" t="s">
        <v>42</v>
      </c>
      <c r="B59" s="21" t="s">
        <v>65</v>
      </c>
      <c r="C59" s="21" t="s">
        <v>25</v>
      </c>
      <c r="D59" s="17" t="s">
        <v>22</v>
      </c>
      <c r="E59" s="17">
        <v>741.61</v>
      </c>
      <c r="F59" s="17">
        <v>1</v>
      </c>
      <c r="G59" s="17">
        <v>0.2</v>
      </c>
      <c r="H59" s="18">
        <v>45471</v>
      </c>
      <c r="I59" s="17">
        <f t="shared" si="0"/>
        <v>593.28800000000001</v>
      </c>
      <c r="J59" s="19">
        <f t="shared" si="1"/>
        <v>0.68393090708054083</v>
      </c>
      <c r="K59" s="20">
        <f t="shared" ca="1" si="2"/>
        <v>46140.516403240741</v>
      </c>
      <c r="L59" s="15" t="str">
        <f t="shared" si="3"/>
        <v>Jun-24</v>
      </c>
    </row>
    <row r="60" spans="1:12" ht="15.75" customHeight="1" x14ac:dyDescent="0.35">
      <c r="A60" s="21" t="s">
        <v>68</v>
      </c>
      <c r="B60" s="21" t="s">
        <v>39</v>
      </c>
      <c r="C60" s="21" t="s">
        <v>25</v>
      </c>
      <c r="D60" s="17" t="s">
        <v>13</v>
      </c>
      <c r="E60" s="17">
        <v>1248.82</v>
      </c>
      <c r="F60" s="17">
        <v>2</v>
      </c>
      <c r="G60" s="17">
        <v>0.1</v>
      </c>
      <c r="H60" s="18">
        <v>45473</v>
      </c>
      <c r="I60" s="17">
        <f t="shared" si="0"/>
        <v>1123.9379999999999</v>
      </c>
      <c r="J60" s="19">
        <f t="shared" si="1"/>
        <v>8.9316314600983299E-2</v>
      </c>
      <c r="K60" s="20">
        <f t="shared" ca="1" si="2"/>
        <v>46140.516403240741</v>
      </c>
      <c r="L60" s="15" t="str">
        <f t="shared" si="3"/>
        <v>Jun-24</v>
      </c>
    </row>
    <row r="61" spans="1:12" ht="15.75" customHeight="1" x14ac:dyDescent="0.35">
      <c r="A61" s="21" t="s">
        <v>14</v>
      </c>
      <c r="B61" s="21" t="s">
        <v>60</v>
      </c>
      <c r="C61" s="21" t="s">
        <v>12</v>
      </c>
      <c r="D61" s="17" t="s">
        <v>16</v>
      </c>
      <c r="E61" s="17">
        <v>1360.36</v>
      </c>
      <c r="F61" s="17">
        <v>17</v>
      </c>
      <c r="G61" s="17">
        <v>0</v>
      </c>
      <c r="H61" s="18">
        <v>45473</v>
      </c>
      <c r="I61" s="17">
        <f t="shared" si="0"/>
        <v>1360.36</v>
      </c>
      <c r="J61" s="19">
        <f t="shared" si="1"/>
        <v>1.6863183275015479E-2</v>
      </c>
      <c r="K61" s="20">
        <f t="shared" ca="1" si="2"/>
        <v>46140.516403240741</v>
      </c>
      <c r="L61" s="15" t="str">
        <f t="shared" si="3"/>
        <v>Jun-24</v>
      </c>
    </row>
    <row r="62" spans="1:12" ht="15.75" customHeight="1" x14ac:dyDescent="0.35">
      <c r="A62" s="21" t="s">
        <v>58</v>
      </c>
      <c r="B62" s="21" t="s">
        <v>32</v>
      </c>
      <c r="C62" s="21" t="s">
        <v>19</v>
      </c>
      <c r="D62" s="17" t="s">
        <v>13</v>
      </c>
      <c r="E62" s="17">
        <v>1383.3</v>
      </c>
      <c r="F62" s="17">
        <v>8</v>
      </c>
      <c r="G62" s="17">
        <v>0.1</v>
      </c>
      <c r="H62" s="18">
        <v>45478</v>
      </c>
      <c r="I62" s="17">
        <f t="shared" si="0"/>
        <v>1244.97</v>
      </c>
      <c r="J62" s="19">
        <f t="shared" si="1"/>
        <v>-0.64650473505385675</v>
      </c>
      <c r="K62" s="20">
        <f t="shared" ca="1" si="2"/>
        <v>46140.516403240741</v>
      </c>
      <c r="L62" s="15" t="str">
        <f t="shared" si="3"/>
        <v>Jul-24</v>
      </c>
    </row>
    <row r="63" spans="1:12" ht="15.75" customHeight="1" x14ac:dyDescent="0.35">
      <c r="A63" s="21" t="s">
        <v>36</v>
      </c>
      <c r="B63" s="21" t="s">
        <v>56</v>
      </c>
      <c r="C63" s="21" t="s">
        <v>35</v>
      </c>
      <c r="D63" s="17" t="s">
        <v>40</v>
      </c>
      <c r="E63" s="17">
        <v>488.99</v>
      </c>
      <c r="F63" s="17">
        <v>9</v>
      </c>
      <c r="G63" s="17">
        <v>0</v>
      </c>
      <c r="H63" s="18">
        <v>45479</v>
      </c>
      <c r="I63" s="17">
        <f t="shared" si="0"/>
        <v>488.99</v>
      </c>
      <c r="J63" s="19">
        <f t="shared" si="1"/>
        <v>0.90946645125667192</v>
      </c>
      <c r="K63" s="20">
        <f t="shared" ca="1" si="2"/>
        <v>46140.516403240741</v>
      </c>
      <c r="L63" s="15" t="str">
        <f t="shared" si="3"/>
        <v>Jul-24</v>
      </c>
    </row>
    <row r="64" spans="1:12" ht="15.75" customHeight="1" x14ac:dyDescent="0.35">
      <c r="A64" s="21" t="s">
        <v>31</v>
      </c>
      <c r="B64" s="21" t="s">
        <v>32</v>
      </c>
      <c r="C64" s="21" t="s">
        <v>19</v>
      </c>
      <c r="D64" s="17" t="s">
        <v>28</v>
      </c>
      <c r="E64" s="17">
        <v>933.71</v>
      </c>
      <c r="F64" s="17">
        <v>17</v>
      </c>
      <c r="G64" s="17">
        <v>0.1</v>
      </c>
      <c r="H64" s="18">
        <v>45481</v>
      </c>
      <c r="I64" s="17">
        <f t="shared" si="0"/>
        <v>840.33900000000006</v>
      </c>
      <c r="J64" s="19">
        <f t="shared" si="1"/>
        <v>7.6918957706354152E-2</v>
      </c>
      <c r="K64" s="20">
        <f t="shared" ca="1" si="2"/>
        <v>46140.516403240741</v>
      </c>
      <c r="L64" s="15" t="str">
        <f t="shared" si="3"/>
        <v>Jul-24</v>
      </c>
    </row>
    <row r="65" spans="1:12" ht="15.75" customHeight="1" x14ac:dyDescent="0.35">
      <c r="A65" s="21" t="s">
        <v>68</v>
      </c>
      <c r="B65" s="21" t="s">
        <v>11</v>
      </c>
      <c r="C65" s="21" t="s">
        <v>12</v>
      </c>
      <c r="D65" s="17" t="s">
        <v>22</v>
      </c>
      <c r="E65" s="17">
        <v>1005.53</v>
      </c>
      <c r="F65" s="17">
        <v>17</v>
      </c>
      <c r="G65" s="17">
        <v>0.2</v>
      </c>
      <c r="H65" s="18">
        <v>45481</v>
      </c>
      <c r="I65" s="17">
        <f t="shared" si="0"/>
        <v>804.42399999999998</v>
      </c>
      <c r="J65" s="19">
        <f t="shared" si="1"/>
        <v>9.4049904030710119E-2</v>
      </c>
      <c r="K65" s="20">
        <f t="shared" ca="1" si="2"/>
        <v>46140.516403240741</v>
      </c>
      <c r="L65" s="15" t="str">
        <f t="shared" si="3"/>
        <v>Jul-24</v>
      </c>
    </row>
    <row r="66" spans="1:12" ht="15.75" customHeight="1" x14ac:dyDescent="0.35">
      <c r="A66" s="21" t="s">
        <v>42</v>
      </c>
      <c r="B66" s="21" t="s">
        <v>62</v>
      </c>
      <c r="C66" s="21" t="s">
        <v>21</v>
      </c>
      <c r="D66" s="17" t="s">
        <v>22</v>
      </c>
      <c r="E66" s="17">
        <v>1100.0999999999999</v>
      </c>
      <c r="F66" s="17">
        <v>5</v>
      </c>
      <c r="G66" s="17">
        <v>0.05</v>
      </c>
      <c r="H66" s="18">
        <v>45482</v>
      </c>
      <c r="I66" s="17">
        <f t="shared" si="0"/>
        <v>1045.0949999999998</v>
      </c>
      <c r="J66" s="19">
        <f t="shared" si="1"/>
        <v>-5.9449140987182868E-2</v>
      </c>
      <c r="K66" s="20">
        <f t="shared" ca="1" si="2"/>
        <v>46140.516403240741</v>
      </c>
      <c r="L66" s="15" t="str">
        <f t="shared" si="3"/>
        <v>Jul-24</v>
      </c>
    </row>
    <row r="67" spans="1:12" ht="15.75" customHeight="1" x14ac:dyDescent="0.35">
      <c r="A67" s="21" t="s">
        <v>68</v>
      </c>
      <c r="B67" s="21" t="s">
        <v>24</v>
      </c>
      <c r="C67" s="21" t="s">
        <v>25</v>
      </c>
      <c r="D67" s="17" t="s">
        <v>28</v>
      </c>
      <c r="E67" s="17">
        <v>1034.7</v>
      </c>
      <c r="F67" s="17">
        <v>15</v>
      </c>
      <c r="G67" s="17">
        <v>0.15</v>
      </c>
      <c r="H67" s="18">
        <v>45487</v>
      </c>
      <c r="I67" s="17">
        <f t="shared" ref="I67:I130" si="4">E67 - (E67 * G67)</f>
        <v>879.495</v>
      </c>
      <c r="J67" s="19">
        <f t="shared" ref="J67:J130" si="5">(E68-E67)/E67</f>
        <v>-0.15295254663187396</v>
      </c>
      <c r="K67" s="20">
        <f t="shared" ref="K67:K130" ca="1" si="6">IF(A67&lt;&gt;"", IF(K67&gt;1, K67, NOW()), "")</f>
        <v>46140.516403240741</v>
      </c>
      <c r="L67" s="15" t="str">
        <f t="shared" ref="L67:L130" si="7">TEXT(H67, "MMM-YY")</f>
        <v>Jul-24</v>
      </c>
    </row>
    <row r="68" spans="1:12" ht="15.75" customHeight="1" x14ac:dyDescent="0.35">
      <c r="A68" s="21" t="s">
        <v>66</v>
      </c>
      <c r="B68" s="21" t="s">
        <v>32</v>
      </c>
      <c r="C68" s="21" t="s">
        <v>21</v>
      </c>
      <c r="D68" s="17" t="s">
        <v>13</v>
      </c>
      <c r="E68" s="17">
        <v>876.44</v>
      </c>
      <c r="F68" s="17">
        <v>12</v>
      </c>
      <c r="G68" s="17">
        <v>0.05</v>
      </c>
      <c r="H68" s="18">
        <v>45488</v>
      </c>
      <c r="I68" s="17">
        <f t="shared" si="4"/>
        <v>832.61800000000005</v>
      </c>
      <c r="J68" s="19">
        <f t="shared" si="5"/>
        <v>0.56467071334033114</v>
      </c>
      <c r="K68" s="20">
        <f t="shared" ca="1" si="6"/>
        <v>46140.516403240741</v>
      </c>
      <c r="L68" s="15" t="str">
        <f t="shared" si="7"/>
        <v>Jul-24</v>
      </c>
    </row>
    <row r="69" spans="1:12" ht="15.75" customHeight="1" x14ac:dyDescent="0.35">
      <c r="A69" s="21" t="s">
        <v>69</v>
      </c>
      <c r="B69" s="21" t="s">
        <v>56</v>
      </c>
      <c r="C69" s="21" t="s">
        <v>12</v>
      </c>
      <c r="D69" s="17" t="s">
        <v>28</v>
      </c>
      <c r="E69" s="17">
        <v>1371.34</v>
      </c>
      <c r="F69" s="17">
        <v>5</v>
      </c>
      <c r="G69" s="17">
        <v>0.05</v>
      </c>
      <c r="H69" s="18">
        <v>45488</v>
      </c>
      <c r="I69" s="17">
        <f t="shared" si="4"/>
        <v>1302.7729999999999</v>
      </c>
      <c r="J69" s="19">
        <f t="shared" si="5"/>
        <v>-0.25601236746539879</v>
      </c>
      <c r="K69" s="20">
        <f t="shared" ca="1" si="6"/>
        <v>46140.516403240741</v>
      </c>
      <c r="L69" s="15" t="str">
        <f t="shared" si="7"/>
        <v>Jul-24</v>
      </c>
    </row>
    <row r="70" spans="1:12" ht="15.75" customHeight="1" x14ac:dyDescent="0.35">
      <c r="A70" s="21" t="s">
        <v>58</v>
      </c>
      <c r="B70" s="21" t="s">
        <v>48</v>
      </c>
      <c r="C70" s="21" t="s">
        <v>25</v>
      </c>
      <c r="D70" s="17" t="s">
        <v>22</v>
      </c>
      <c r="E70" s="17">
        <v>1020.26</v>
      </c>
      <c r="F70" s="17">
        <v>11</v>
      </c>
      <c r="G70" s="17">
        <v>0.05</v>
      </c>
      <c r="H70" s="18">
        <v>45494</v>
      </c>
      <c r="I70" s="17">
        <f t="shared" si="4"/>
        <v>969.24699999999996</v>
      </c>
      <c r="J70" s="19">
        <f t="shared" si="5"/>
        <v>-0.21117166212534064</v>
      </c>
      <c r="K70" s="20">
        <f t="shared" ca="1" si="6"/>
        <v>46140.516403240741</v>
      </c>
      <c r="L70" s="15" t="str">
        <f t="shared" si="7"/>
        <v>Jul-24</v>
      </c>
    </row>
    <row r="71" spans="1:12" ht="15.75" customHeight="1" x14ac:dyDescent="0.35">
      <c r="A71" s="21" t="s">
        <v>45</v>
      </c>
      <c r="B71" s="21" t="s">
        <v>11</v>
      </c>
      <c r="C71" s="21" t="s">
        <v>35</v>
      </c>
      <c r="D71" s="17" t="s">
        <v>40</v>
      </c>
      <c r="E71" s="17">
        <v>804.81</v>
      </c>
      <c r="F71" s="17">
        <v>1</v>
      </c>
      <c r="G71" s="17">
        <v>0.05</v>
      </c>
      <c r="H71" s="18">
        <v>45502</v>
      </c>
      <c r="I71" s="17">
        <f t="shared" si="4"/>
        <v>764.56949999999995</v>
      </c>
      <c r="J71" s="19">
        <f t="shared" si="5"/>
        <v>-0.24372212074899666</v>
      </c>
      <c r="K71" s="20">
        <f t="shared" ca="1" si="6"/>
        <v>46140.516403240741</v>
      </c>
      <c r="L71" s="15" t="str">
        <f t="shared" si="7"/>
        <v>Jul-24</v>
      </c>
    </row>
    <row r="72" spans="1:12" ht="15.75" customHeight="1" x14ac:dyDescent="0.35">
      <c r="A72" s="21" t="s">
        <v>23</v>
      </c>
      <c r="B72" s="21" t="s">
        <v>56</v>
      </c>
      <c r="C72" s="21" t="s">
        <v>35</v>
      </c>
      <c r="D72" s="17" t="s">
        <v>22</v>
      </c>
      <c r="E72" s="17">
        <v>608.66</v>
      </c>
      <c r="F72" s="17">
        <v>1</v>
      </c>
      <c r="G72" s="17">
        <v>0.05</v>
      </c>
      <c r="H72" s="18">
        <v>45503</v>
      </c>
      <c r="I72" s="17">
        <f t="shared" si="4"/>
        <v>578.22699999999998</v>
      </c>
      <c r="J72" s="19">
        <f t="shared" si="5"/>
        <v>0.61206584957118937</v>
      </c>
      <c r="K72" s="20">
        <f t="shared" ca="1" si="6"/>
        <v>46140.516403240741</v>
      </c>
      <c r="L72" s="15" t="str">
        <f t="shared" si="7"/>
        <v>Jul-24</v>
      </c>
    </row>
    <row r="73" spans="1:12" ht="15.75" customHeight="1" x14ac:dyDescent="0.35">
      <c r="A73" s="21" t="s">
        <v>69</v>
      </c>
      <c r="B73" s="21" t="s">
        <v>70</v>
      </c>
      <c r="C73" s="21" t="s">
        <v>21</v>
      </c>
      <c r="D73" s="17" t="s">
        <v>40</v>
      </c>
      <c r="E73" s="17">
        <v>981.2</v>
      </c>
      <c r="F73" s="17">
        <v>19</v>
      </c>
      <c r="G73" s="17">
        <v>0</v>
      </c>
      <c r="H73" s="18">
        <v>45504</v>
      </c>
      <c r="I73" s="17">
        <f t="shared" si="4"/>
        <v>981.2</v>
      </c>
      <c r="J73" s="19">
        <f t="shared" si="5"/>
        <v>-0.44988789237668164</v>
      </c>
      <c r="K73" s="20">
        <f t="shared" ca="1" si="6"/>
        <v>46140.516403240741</v>
      </c>
      <c r="L73" s="15" t="str">
        <f t="shared" si="7"/>
        <v>Jul-24</v>
      </c>
    </row>
    <row r="74" spans="1:12" ht="15.75" customHeight="1" x14ac:dyDescent="0.35">
      <c r="A74" s="21" t="s">
        <v>71</v>
      </c>
      <c r="B74" s="21" t="s">
        <v>56</v>
      </c>
      <c r="C74" s="21" t="s">
        <v>19</v>
      </c>
      <c r="D74" s="17" t="s">
        <v>22</v>
      </c>
      <c r="E74" s="17">
        <v>539.77</v>
      </c>
      <c r="F74" s="17">
        <v>10</v>
      </c>
      <c r="G74" s="17">
        <v>0.15</v>
      </c>
      <c r="H74" s="18">
        <v>45509</v>
      </c>
      <c r="I74" s="17">
        <f t="shared" si="4"/>
        <v>458.80449999999996</v>
      </c>
      <c r="J74" s="19">
        <f t="shared" si="5"/>
        <v>0.4903570039090725</v>
      </c>
      <c r="K74" s="20">
        <f t="shared" ca="1" si="6"/>
        <v>46140.516403240741</v>
      </c>
      <c r="L74" s="15" t="str">
        <f t="shared" si="7"/>
        <v>Aug-24</v>
      </c>
    </row>
    <row r="75" spans="1:12" ht="15.75" customHeight="1" x14ac:dyDescent="0.35">
      <c r="A75" s="21" t="s">
        <v>14</v>
      </c>
      <c r="B75" s="21" t="s">
        <v>72</v>
      </c>
      <c r="C75" s="21" t="s">
        <v>21</v>
      </c>
      <c r="D75" s="17" t="s">
        <v>13</v>
      </c>
      <c r="E75" s="17">
        <v>804.45</v>
      </c>
      <c r="F75" s="17">
        <v>5</v>
      </c>
      <c r="G75" s="17">
        <v>0.2</v>
      </c>
      <c r="H75" s="18">
        <v>45509</v>
      </c>
      <c r="I75" s="17">
        <f t="shared" si="4"/>
        <v>643.56000000000006</v>
      </c>
      <c r="J75" s="19">
        <f t="shared" si="5"/>
        <v>0.8976940766983651</v>
      </c>
      <c r="K75" s="20">
        <f t="shared" ca="1" si="6"/>
        <v>46140.516403240741</v>
      </c>
      <c r="L75" s="15" t="str">
        <f t="shared" si="7"/>
        <v>Aug-24</v>
      </c>
    </row>
    <row r="76" spans="1:12" ht="15.75" customHeight="1" x14ac:dyDescent="0.35">
      <c r="A76" s="21" t="s">
        <v>71</v>
      </c>
      <c r="B76" s="21" t="s">
        <v>39</v>
      </c>
      <c r="C76" s="21" t="s">
        <v>12</v>
      </c>
      <c r="D76" s="17" t="s">
        <v>22</v>
      </c>
      <c r="E76" s="17">
        <v>1526.6</v>
      </c>
      <c r="F76" s="17">
        <v>13</v>
      </c>
      <c r="G76" s="17">
        <v>0.2</v>
      </c>
      <c r="H76" s="18">
        <v>45512</v>
      </c>
      <c r="I76" s="17">
        <f t="shared" si="4"/>
        <v>1221.28</v>
      </c>
      <c r="J76" s="19">
        <f t="shared" si="5"/>
        <v>-0.20394340364208041</v>
      </c>
      <c r="K76" s="20">
        <f t="shared" ca="1" si="6"/>
        <v>46140.516403240741</v>
      </c>
      <c r="L76" s="15" t="str">
        <f t="shared" si="7"/>
        <v>Aug-24</v>
      </c>
    </row>
    <row r="77" spans="1:12" ht="15.75" customHeight="1" x14ac:dyDescent="0.35">
      <c r="A77" s="21" t="s">
        <v>14</v>
      </c>
      <c r="B77" s="21" t="s">
        <v>30</v>
      </c>
      <c r="C77" s="21" t="s">
        <v>12</v>
      </c>
      <c r="D77" s="17" t="s">
        <v>22</v>
      </c>
      <c r="E77" s="17">
        <v>1215.26</v>
      </c>
      <c r="F77" s="17">
        <v>5</v>
      </c>
      <c r="G77" s="17">
        <v>0.15</v>
      </c>
      <c r="H77" s="18">
        <v>45513</v>
      </c>
      <c r="I77" s="17">
        <f t="shared" si="4"/>
        <v>1032.971</v>
      </c>
      <c r="J77" s="19">
        <f t="shared" si="5"/>
        <v>3.79178118262758E-2</v>
      </c>
      <c r="K77" s="20">
        <f t="shared" ca="1" si="6"/>
        <v>46140.516403240741</v>
      </c>
      <c r="L77" s="15" t="str">
        <f t="shared" si="7"/>
        <v>Aug-24</v>
      </c>
    </row>
    <row r="78" spans="1:12" ht="15.75" customHeight="1" x14ac:dyDescent="0.35">
      <c r="A78" s="21" t="s">
        <v>20</v>
      </c>
      <c r="B78" s="21" t="s">
        <v>54</v>
      </c>
      <c r="C78" s="21" t="s">
        <v>35</v>
      </c>
      <c r="D78" s="17" t="s">
        <v>28</v>
      </c>
      <c r="E78" s="17">
        <v>1261.3399999999999</v>
      </c>
      <c r="F78" s="17">
        <v>3</v>
      </c>
      <c r="G78" s="17">
        <v>0</v>
      </c>
      <c r="H78" s="18">
        <v>45519</v>
      </c>
      <c r="I78" s="17">
        <f t="shared" si="4"/>
        <v>1261.3399999999999</v>
      </c>
      <c r="J78" s="19">
        <f t="shared" si="5"/>
        <v>-0.589270141278323</v>
      </c>
      <c r="K78" s="20">
        <f t="shared" ca="1" si="6"/>
        <v>46140.516403240741</v>
      </c>
      <c r="L78" s="15" t="str">
        <f t="shared" si="7"/>
        <v>Aug-24</v>
      </c>
    </row>
    <row r="79" spans="1:12" ht="15.75" customHeight="1" x14ac:dyDescent="0.35">
      <c r="A79" s="21" t="s">
        <v>73</v>
      </c>
      <c r="B79" s="21" t="s">
        <v>46</v>
      </c>
      <c r="C79" s="21" t="s">
        <v>25</v>
      </c>
      <c r="D79" s="17" t="s">
        <v>28</v>
      </c>
      <c r="E79" s="17">
        <v>518.07000000000005</v>
      </c>
      <c r="F79" s="17">
        <v>7</v>
      </c>
      <c r="G79" s="17">
        <v>0.05</v>
      </c>
      <c r="H79" s="18">
        <v>45522</v>
      </c>
      <c r="I79" s="17">
        <f t="shared" si="4"/>
        <v>492.16650000000004</v>
      </c>
      <c r="J79" s="19">
        <f t="shared" si="5"/>
        <v>1.1451541297508054</v>
      </c>
      <c r="K79" s="20">
        <f t="shared" ca="1" si="6"/>
        <v>46140.516403240741</v>
      </c>
      <c r="L79" s="15" t="str">
        <f t="shared" si="7"/>
        <v>Aug-24</v>
      </c>
    </row>
    <row r="80" spans="1:12" ht="15.75" customHeight="1" x14ac:dyDescent="0.35">
      <c r="A80" s="21" t="s">
        <v>31</v>
      </c>
      <c r="B80" s="21" t="s">
        <v>30</v>
      </c>
      <c r="C80" s="21" t="s">
        <v>12</v>
      </c>
      <c r="D80" s="17" t="s">
        <v>40</v>
      </c>
      <c r="E80" s="17">
        <v>1111.3399999999999</v>
      </c>
      <c r="F80" s="17">
        <v>1</v>
      </c>
      <c r="G80" s="17">
        <v>0</v>
      </c>
      <c r="H80" s="18">
        <v>45523</v>
      </c>
      <c r="I80" s="17">
        <f t="shared" si="4"/>
        <v>1111.3399999999999</v>
      </c>
      <c r="J80" s="19">
        <f t="shared" si="5"/>
        <v>0.16208361077618022</v>
      </c>
      <c r="K80" s="20">
        <f t="shared" ca="1" si="6"/>
        <v>46140.516403240741</v>
      </c>
      <c r="L80" s="15" t="str">
        <f t="shared" si="7"/>
        <v>Aug-24</v>
      </c>
    </row>
    <row r="81" spans="1:12" ht="15.75" customHeight="1" x14ac:dyDescent="0.35">
      <c r="A81" s="21" t="s">
        <v>23</v>
      </c>
      <c r="B81" s="21" t="s">
        <v>32</v>
      </c>
      <c r="C81" s="21" t="s">
        <v>19</v>
      </c>
      <c r="D81" s="17" t="s">
        <v>16</v>
      </c>
      <c r="E81" s="17">
        <v>1291.47</v>
      </c>
      <c r="F81" s="17">
        <v>18</v>
      </c>
      <c r="G81" s="17">
        <v>0.1</v>
      </c>
      <c r="H81" s="18">
        <v>45526</v>
      </c>
      <c r="I81" s="17">
        <f t="shared" si="4"/>
        <v>1162.3230000000001</v>
      </c>
      <c r="J81" s="19">
        <f t="shared" si="5"/>
        <v>-0.4736927687054287</v>
      </c>
      <c r="K81" s="20">
        <f t="shared" ca="1" si="6"/>
        <v>46140.516403240741</v>
      </c>
      <c r="L81" s="15" t="str">
        <f t="shared" si="7"/>
        <v>Aug-24</v>
      </c>
    </row>
    <row r="82" spans="1:12" ht="15.75" customHeight="1" x14ac:dyDescent="0.35">
      <c r="A82" s="21" t="s">
        <v>26</v>
      </c>
      <c r="B82" s="21" t="s">
        <v>56</v>
      </c>
      <c r="C82" s="21" t="s">
        <v>25</v>
      </c>
      <c r="D82" s="17" t="s">
        <v>13</v>
      </c>
      <c r="E82" s="17">
        <v>679.71</v>
      </c>
      <c r="F82" s="17">
        <v>19</v>
      </c>
      <c r="G82" s="17">
        <v>0</v>
      </c>
      <c r="H82" s="18">
        <v>45534</v>
      </c>
      <c r="I82" s="17">
        <f t="shared" si="4"/>
        <v>679.71</v>
      </c>
      <c r="J82" s="19">
        <f t="shared" si="5"/>
        <v>0.68261464448073439</v>
      </c>
      <c r="K82" s="20">
        <f t="shared" ca="1" si="6"/>
        <v>46140.516403240741</v>
      </c>
      <c r="L82" s="15" t="str">
        <f t="shared" si="7"/>
        <v>Aug-24</v>
      </c>
    </row>
    <row r="83" spans="1:12" ht="15.75" customHeight="1" x14ac:dyDescent="0.35">
      <c r="A83" s="21" t="s">
        <v>69</v>
      </c>
      <c r="B83" s="21" t="s">
        <v>34</v>
      </c>
      <c r="C83" s="21" t="s">
        <v>19</v>
      </c>
      <c r="D83" s="17" t="s">
        <v>28</v>
      </c>
      <c r="E83" s="17">
        <v>1143.69</v>
      </c>
      <c r="F83" s="17">
        <v>17</v>
      </c>
      <c r="G83" s="17">
        <v>0</v>
      </c>
      <c r="H83" s="18">
        <v>45534</v>
      </c>
      <c r="I83" s="17">
        <f t="shared" si="4"/>
        <v>1143.69</v>
      </c>
      <c r="J83" s="19">
        <f t="shared" si="5"/>
        <v>-0.30918343257351205</v>
      </c>
      <c r="K83" s="20">
        <f t="shared" ca="1" si="6"/>
        <v>46140.516403240741</v>
      </c>
      <c r="L83" s="15" t="str">
        <f t="shared" si="7"/>
        <v>Aug-24</v>
      </c>
    </row>
    <row r="84" spans="1:12" ht="15.75" customHeight="1" x14ac:dyDescent="0.35">
      <c r="A84" s="21" t="s">
        <v>53</v>
      </c>
      <c r="B84" s="21" t="s">
        <v>51</v>
      </c>
      <c r="C84" s="21" t="s">
        <v>35</v>
      </c>
      <c r="D84" s="17" t="s">
        <v>22</v>
      </c>
      <c r="E84" s="17">
        <v>790.08</v>
      </c>
      <c r="F84" s="17">
        <v>7</v>
      </c>
      <c r="G84" s="17">
        <v>0.1</v>
      </c>
      <c r="H84" s="18">
        <v>45536</v>
      </c>
      <c r="I84" s="17">
        <f t="shared" si="4"/>
        <v>711.072</v>
      </c>
      <c r="J84" s="19">
        <f t="shared" si="5"/>
        <v>0.35515390846496558</v>
      </c>
      <c r="K84" s="20">
        <f t="shared" ca="1" si="6"/>
        <v>46140.516403240741</v>
      </c>
      <c r="L84" s="15" t="str">
        <f t="shared" si="7"/>
        <v>Sep-24</v>
      </c>
    </row>
    <row r="85" spans="1:12" ht="15.75" customHeight="1" x14ac:dyDescent="0.35">
      <c r="A85" s="21" t="s">
        <v>20</v>
      </c>
      <c r="B85" s="21" t="s">
        <v>49</v>
      </c>
      <c r="C85" s="21" t="s">
        <v>35</v>
      </c>
      <c r="D85" s="17" t="s">
        <v>13</v>
      </c>
      <c r="E85" s="17">
        <v>1070.68</v>
      </c>
      <c r="F85" s="17">
        <v>7</v>
      </c>
      <c r="G85" s="17">
        <v>0.05</v>
      </c>
      <c r="H85" s="18">
        <v>45536</v>
      </c>
      <c r="I85" s="17">
        <f t="shared" si="4"/>
        <v>1017.1460000000001</v>
      </c>
      <c r="J85" s="19">
        <f t="shared" si="5"/>
        <v>9.1726753091493279E-2</v>
      </c>
      <c r="K85" s="20">
        <f t="shared" ca="1" si="6"/>
        <v>46140.516403240741</v>
      </c>
      <c r="L85" s="15" t="str">
        <f t="shared" si="7"/>
        <v>Sep-24</v>
      </c>
    </row>
    <row r="86" spans="1:12" ht="15.75" customHeight="1" x14ac:dyDescent="0.35">
      <c r="A86" s="21" t="s">
        <v>59</v>
      </c>
      <c r="B86" s="21" t="s">
        <v>37</v>
      </c>
      <c r="C86" s="21" t="s">
        <v>12</v>
      </c>
      <c r="D86" s="17" t="s">
        <v>16</v>
      </c>
      <c r="E86" s="17">
        <v>1168.8900000000001</v>
      </c>
      <c r="F86" s="17">
        <v>4</v>
      </c>
      <c r="G86" s="17">
        <v>0.1</v>
      </c>
      <c r="H86" s="18">
        <v>45544</v>
      </c>
      <c r="I86" s="17">
        <f t="shared" si="4"/>
        <v>1052.0010000000002</v>
      </c>
      <c r="J86" s="19">
        <f t="shared" si="5"/>
        <v>0.14285347637502227</v>
      </c>
      <c r="K86" s="20">
        <f t="shared" ca="1" si="6"/>
        <v>46140.516403240741</v>
      </c>
      <c r="L86" s="15" t="str">
        <f t="shared" si="7"/>
        <v>Sep-24</v>
      </c>
    </row>
    <row r="87" spans="1:12" ht="15.75" customHeight="1" x14ac:dyDescent="0.35">
      <c r="A87" s="21" t="s">
        <v>68</v>
      </c>
      <c r="B87" s="21" t="s">
        <v>11</v>
      </c>
      <c r="C87" s="21" t="s">
        <v>21</v>
      </c>
      <c r="D87" s="17" t="s">
        <v>22</v>
      </c>
      <c r="E87" s="17">
        <v>1335.87</v>
      </c>
      <c r="F87" s="17">
        <v>17</v>
      </c>
      <c r="G87" s="17">
        <v>0</v>
      </c>
      <c r="H87" s="18">
        <v>45544</v>
      </c>
      <c r="I87" s="17">
        <f t="shared" si="4"/>
        <v>1335.87</v>
      </c>
      <c r="J87" s="19">
        <f t="shared" si="5"/>
        <v>-0.34596929341926974</v>
      </c>
      <c r="K87" s="20">
        <f t="shared" ca="1" si="6"/>
        <v>46140.516403240741</v>
      </c>
      <c r="L87" s="15" t="str">
        <f t="shared" si="7"/>
        <v>Sep-24</v>
      </c>
    </row>
    <row r="88" spans="1:12" ht="15.75" customHeight="1" x14ac:dyDescent="0.35">
      <c r="A88" s="21" t="s">
        <v>41</v>
      </c>
      <c r="B88" s="21" t="s">
        <v>56</v>
      </c>
      <c r="C88" s="21" t="s">
        <v>19</v>
      </c>
      <c r="D88" s="17" t="s">
        <v>28</v>
      </c>
      <c r="E88" s="17">
        <v>873.7</v>
      </c>
      <c r="F88" s="17">
        <v>9</v>
      </c>
      <c r="G88" s="17">
        <v>0</v>
      </c>
      <c r="H88" s="18">
        <v>45546</v>
      </c>
      <c r="I88" s="17">
        <f t="shared" si="4"/>
        <v>873.7</v>
      </c>
      <c r="J88" s="19">
        <f t="shared" si="5"/>
        <v>0.65271832436763189</v>
      </c>
      <c r="K88" s="20">
        <f t="shared" ca="1" si="6"/>
        <v>46140.516403240741</v>
      </c>
      <c r="L88" s="15" t="str">
        <f t="shared" si="7"/>
        <v>Sep-24</v>
      </c>
    </row>
    <row r="89" spans="1:12" ht="15.75" customHeight="1" x14ac:dyDescent="0.35">
      <c r="A89" s="21" t="s">
        <v>73</v>
      </c>
      <c r="B89" s="21" t="s">
        <v>65</v>
      </c>
      <c r="C89" s="21" t="s">
        <v>12</v>
      </c>
      <c r="D89" s="17" t="s">
        <v>40</v>
      </c>
      <c r="E89" s="17">
        <v>1443.98</v>
      </c>
      <c r="F89" s="17">
        <v>19</v>
      </c>
      <c r="G89" s="17">
        <v>0</v>
      </c>
      <c r="H89" s="18">
        <v>45547</v>
      </c>
      <c r="I89" s="17">
        <f t="shared" si="4"/>
        <v>1443.98</v>
      </c>
      <c r="J89" s="19">
        <f t="shared" si="5"/>
        <v>-0.200591420933808</v>
      </c>
      <c r="K89" s="20">
        <f t="shared" ca="1" si="6"/>
        <v>46140.516403240741</v>
      </c>
      <c r="L89" s="15" t="str">
        <f t="shared" si="7"/>
        <v>Sep-24</v>
      </c>
    </row>
    <row r="90" spans="1:12" ht="15.75" customHeight="1" x14ac:dyDescent="0.35">
      <c r="A90" s="21" t="s">
        <v>41</v>
      </c>
      <c r="B90" s="21" t="s">
        <v>24</v>
      </c>
      <c r="C90" s="21" t="s">
        <v>19</v>
      </c>
      <c r="D90" s="17" t="s">
        <v>40</v>
      </c>
      <c r="E90" s="17">
        <v>1154.33</v>
      </c>
      <c r="F90" s="17">
        <v>11</v>
      </c>
      <c r="G90" s="17">
        <v>0.15</v>
      </c>
      <c r="H90" s="18">
        <v>45549</v>
      </c>
      <c r="I90" s="17">
        <f t="shared" si="4"/>
        <v>981.18049999999994</v>
      </c>
      <c r="J90" s="19">
        <f t="shared" si="5"/>
        <v>9.5431982188802236E-2</v>
      </c>
      <c r="K90" s="20">
        <f t="shared" ca="1" si="6"/>
        <v>46140.516403240741</v>
      </c>
      <c r="L90" s="15" t="str">
        <f t="shared" si="7"/>
        <v>Sep-24</v>
      </c>
    </row>
    <row r="91" spans="1:12" ht="15.75" customHeight="1" x14ac:dyDescent="0.35">
      <c r="A91" s="21" t="s">
        <v>50</v>
      </c>
      <c r="B91" s="21" t="s">
        <v>51</v>
      </c>
      <c r="C91" s="21" t="s">
        <v>21</v>
      </c>
      <c r="D91" s="17" t="s">
        <v>13</v>
      </c>
      <c r="E91" s="17">
        <v>1264.49</v>
      </c>
      <c r="F91" s="17">
        <v>16</v>
      </c>
      <c r="G91" s="17">
        <v>0.05</v>
      </c>
      <c r="H91" s="18">
        <v>45549</v>
      </c>
      <c r="I91" s="17">
        <f t="shared" si="4"/>
        <v>1201.2655</v>
      </c>
      <c r="J91" s="19">
        <f t="shared" si="5"/>
        <v>-0.12885827487761869</v>
      </c>
      <c r="K91" s="20">
        <f t="shared" ca="1" si="6"/>
        <v>46140.516403240741</v>
      </c>
      <c r="L91" s="15" t="str">
        <f t="shared" si="7"/>
        <v>Sep-24</v>
      </c>
    </row>
    <row r="92" spans="1:12" ht="15.75" customHeight="1" x14ac:dyDescent="0.35">
      <c r="A92" s="21" t="s">
        <v>26</v>
      </c>
      <c r="B92" s="21" t="s">
        <v>67</v>
      </c>
      <c r="C92" s="21" t="s">
        <v>12</v>
      </c>
      <c r="D92" s="17" t="s">
        <v>28</v>
      </c>
      <c r="E92" s="17">
        <v>1101.55</v>
      </c>
      <c r="F92" s="17">
        <v>4</v>
      </c>
      <c r="G92" s="17">
        <v>0.1</v>
      </c>
      <c r="H92" s="18">
        <v>45551</v>
      </c>
      <c r="I92" s="17">
        <f t="shared" si="4"/>
        <v>991.39499999999998</v>
      </c>
      <c r="J92" s="19">
        <f t="shared" si="5"/>
        <v>-0.33935817711406652</v>
      </c>
      <c r="K92" s="20">
        <f t="shared" ca="1" si="6"/>
        <v>46140.516403240741</v>
      </c>
      <c r="L92" s="15" t="str">
        <f t="shared" si="7"/>
        <v>Sep-24</v>
      </c>
    </row>
    <row r="93" spans="1:12" ht="15.75" customHeight="1" x14ac:dyDescent="0.35">
      <c r="A93" s="21" t="s">
        <v>74</v>
      </c>
      <c r="B93" s="21" t="s">
        <v>15</v>
      </c>
      <c r="C93" s="21" t="s">
        <v>21</v>
      </c>
      <c r="D93" s="17" t="s">
        <v>28</v>
      </c>
      <c r="E93" s="17">
        <v>727.73</v>
      </c>
      <c r="F93" s="17">
        <v>1</v>
      </c>
      <c r="G93" s="17">
        <v>0.1</v>
      </c>
      <c r="H93" s="18">
        <v>45552</v>
      </c>
      <c r="I93" s="17">
        <f t="shared" si="4"/>
        <v>654.95699999999999</v>
      </c>
      <c r="J93" s="19">
        <f t="shared" si="5"/>
        <v>0.20293240624957051</v>
      </c>
      <c r="K93" s="20">
        <f t="shared" ca="1" si="6"/>
        <v>46140.516403240741</v>
      </c>
      <c r="L93" s="15" t="str">
        <f t="shared" si="7"/>
        <v>Sep-24</v>
      </c>
    </row>
    <row r="94" spans="1:12" ht="15.75" customHeight="1" x14ac:dyDescent="0.35">
      <c r="A94" s="21" t="s">
        <v>75</v>
      </c>
      <c r="B94" s="21" t="s">
        <v>39</v>
      </c>
      <c r="C94" s="21" t="s">
        <v>19</v>
      </c>
      <c r="D94" s="17" t="s">
        <v>40</v>
      </c>
      <c r="E94" s="17">
        <v>875.41</v>
      </c>
      <c r="F94" s="17">
        <v>13</v>
      </c>
      <c r="G94" s="17">
        <v>0.15</v>
      </c>
      <c r="H94" s="18">
        <v>45552</v>
      </c>
      <c r="I94" s="17">
        <f t="shared" si="4"/>
        <v>744.09849999999994</v>
      </c>
      <c r="J94" s="19">
        <f t="shared" si="5"/>
        <v>0.32388252361750502</v>
      </c>
      <c r="K94" s="20">
        <f t="shared" ca="1" si="6"/>
        <v>46140.516403240741</v>
      </c>
      <c r="L94" s="15" t="str">
        <f t="shared" si="7"/>
        <v>Sep-24</v>
      </c>
    </row>
    <row r="95" spans="1:12" ht="15.75" customHeight="1" x14ac:dyDescent="0.35">
      <c r="A95" s="21" t="s">
        <v>68</v>
      </c>
      <c r="B95" s="21" t="s">
        <v>24</v>
      </c>
      <c r="C95" s="21" t="s">
        <v>12</v>
      </c>
      <c r="D95" s="17" t="s">
        <v>22</v>
      </c>
      <c r="E95" s="17">
        <v>1158.94</v>
      </c>
      <c r="F95" s="17">
        <v>19</v>
      </c>
      <c r="G95" s="17">
        <v>0.2</v>
      </c>
      <c r="H95" s="18">
        <v>45553</v>
      </c>
      <c r="I95" s="17">
        <f t="shared" si="4"/>
        <v>927.15200000000004</v>
      </c>
      <c r="J95" s="19">
        <f t="shared" si="5"/>
        <v>-0.16622085699000819</v>
      </c>
      <c r="K95" s="20">
        <f t="shared" ca="1" si="6"/>
        <v>46140.516403240741</v>
      </c>
      <c r="L95" s="15" t="str">
        <f t="shared" si="7"/>
        <v>Sep-24</v>
      </c>
    </row>
    <row r="96" spans="1:12" ht="15.75" customHeight="1" x14ac:dyDescent="0.35">
      <c r="A96" s="21" t="s">
        <v>76</v>
      </c>
      <c r="B96" s="21" t="s">
        <v>48</v>
      </c>
      <c r="C96" s="21" t="s">
        <v>21</v>
      </c>
      <c r="D96" s="17" t="s">
        <v>13</v>
      </c>
      <c r="E96" s="17">
        <v>966.3</v>
      </c>
      <c r="F96" s="17">
        <v>2</v>
      </c>
      <c r="G96" s="17">
        <v>0.15</v>
      </c>
      <c r="H96" s="18">
        <v>45557</v>
      </c>
      <c r="I96" s="17">
        <f t="shared" si="4"/>
        <v>821.35500000000002</v>
      </c>
      <c r="J96" s="19">
        <f t="shared" si="5"/>
        <v>-5.0522612025250893E-2</v>
      </c>
      <c r="K96" s="20">
        <f t="shared" ca="1" si="6"/>
        <v>46140.516403240741</v>
      </c>
      <c r="L96" s="15" t="str">
        <f t="shared" si="7"/>
        <v>Sep-24</v>
      </c>
    </row>
    <row r="97" spans="1:12" ht="15.75" customHeight="1" x14ac:dyDescent="0.35">
      <c r="A97" s="21" t="s">
        <v>69</v>
      </c>
      <c r="B97" s="21" t="s">
        <v>18</v>
      </c>
      <c r="C97" s="21" t="s">
        <v>21</v>
      </c>
      <c r="D97" s="17" t="s">
        <v>13</v>
      </c>
      <c r="E97" s="17">
        <v>917.48</v>
      </c>
      <c r="F97" s="17">
        <v>6</v>
      </c>
      <c r="G97" s="17">
        <v>0</v>
      </c>
      <c r="H97" s="18">
        <v>45558</v>
      </c>
      <c r="I97" s="17">
        <f t="shared" si="4"/>
        <v>917.48</v>
      </c>
      <c r="J97" s="19">
        <f t="shared" si="5"/>
        <v>0.27846928543401489</v>
      </c>
      <c r="K97" s="20">
        <f t="shared" ca="1" si="6"/>
        <v>46140.516403240741</v>
      </c>
      <c r="L97" s="15" t="str">
        <f t="shared" si="7"/>
        <v>Sep-24</v>
      </c>
    </row>
    <row r="98" spans="1:12" ht="15.75" customHeight="1" x14ac:dyDescent="0.35">
      <c r="A98" s="21" t="s">
        <v>42</v>
      </c>
      <c r="B98" s="21" t="s">
        <v>62</v>
      </c>
      <c r="C98" s="21" t="s">
        <v>12</v>
      </c>
      <c r="D98" s="17" t="s">
        <v>28</v>
      </c>
      <c r="E98" s="17">
        <v>1172.97</v>
      </c>
      <c r="F98" s="17">
        <v>7</v>
      </c>
      <c r="G98" s="17">
        <v>0.15</v>
      </c>
      <c r="H98" s="18">
        <v>45559</v>
      </c>
      <c r="I98" s="17">
        <f t="shared" si="4"/>
        <v>997.02449999999999</v>
      </c>
      <c r="J98" s="19">
        <f t="shared" si="5"/>
        <v>2.8005831351185374E-2</v>
      </c>
      <c r="K98" s="20">
        <f t="shared" ca="1" si="6"/>
        <v>46140.516403240741</v>
      </c>
      <c r="L98" s="15" t="str">
        <f t="shared" si="7"/>
        <v>Sep-24</v>
      </c>
    </row>
    <row r="99" spans="1:12" ht="15.75" customHeight="1" x14ac:dyDescent="0.35">
      <c r="A99" s="21" t="s">
        <v>58</v>
      </c>
      <c r="B99" s="21" t="s">
        <v>24</v>
      </c>
      <c r="C99" s="21" t="s">
        <v>25</v>
      </c>
      <c r="D99" s="17" t="s">
        <v>16</v>
      </c>
      <c r="E99" s="17">
        <v>1205.82</v>
      </c>
      <c r="F99" s="17">
        <v>11</v>
      </c>
      <c r="G99" s="17">
        <v>0.1</v>
      </c>
      <c r="H99" s="18">
        <v>45559</v>
      </c>
      <c r="I99" s="17">
        <f t="shared" si="4"/>
        <v>1085.2379999999998</v>
      </c>
      <c r="J99" s="19">
        <f t="shared" si="5"/>
        <v>-0.31421771076943489</v>
      </c>
      <c r="K99" s="20">
        <f t="shared" ca="1" si="6"/>
        <v>46140.516403240741</v>
      </c>
      <c r="L99" s="15" t="str">
        <f t="shared" si="7"/>
        <v>Sep-24</v>
      </c>
    </row>
    <row r="100" spans="1:12" ht="15.75" customHeight="1" x14ac:dyDescent="0.35">
      <c r="A100" s="21" t="s">
        <v>17</v>
      </c>
      <c r="B100" s="21" t="s">
        <v>65</v>
      </c>
      <c r="C100" s="21" t="s">
        <v>12</v>
      </c>
      <c r="D100" s="17" t="s">
        <v>40</v>
      </c>
      <c r="E100" s="17">
        <v>826.93</v>
      </c>
      <c r="F100" s="17">
        <v>10</v>
      </c>
      <c r="G100" s="17">
        <v>0.2</v>
      </c>
      <c r="H100" s="18">
        <v>45564</v>
      </c>
      <c r="I100" s="17">
        <f t="shared" si="4"/>
        <v>661.54399999999998</v>
      </c>
      <c r="J100" s="19">
        <f t="shared" si="5"/>
        <v>9.1011331067926068E-2</v>
      </c>
      <c r="K100" s="20">
        <f t="shared" ca="1" si="6"/>
        <v>46140.516403240741</v>
      </c>
      <c r="L100" s="15" t="str">
        <f t="shared" si="7"/>
        <v>Sep-24</v>
      </c>
    </row>
    <row r="101" spans="1:12" ht="15.75" customHeight="1" x14ac:dyDescent="0.35">
      <c r="A101" s="21" t="s">
        <v>68</v>
      </c>
      <c r="B101" s="21" t="s">
        <v>24</v>
      </c>
      <c r="C101" s="21" t="s">
        <v>35</v>
      </c>
      <c r="D101" s="17" t="s">
        <v>16</v>
      </c>
      <c r="E101" s="17">
        <v>902.19</v>
      </c>
      <c r="F101" s="17">
        <v>12</v>
      </c>
      <c r="G101" s="17">
        <v>0</v>
      </c>
      <c r="H101" s="18">
        <v>45564</v>
      </c>
      <c r="I101" s="17">
        <f t="shared" si="4"/>
        <v>902.19</v>
      </c>
      <c r="J101" s="19">
        <f t="shared" si="5"/>
        <v>-0.35050266573559896</v>
      </c>
      <c r="K101" s="20">
        <f t="shared" ca="1" si="6"/>
        <v>46140.516403240741</v>
      </c>
      <c r="L101" s="15" t="str">
        <f t="shared" si="7"/>
        <v>Sep-24</v>
      </c>
    </row>
    <row r="102" spans="1:12" ht="15.75" customHeight="1" x14ac:dyDescent="0.35">
      <c r="A102" s="21" t="s">
        <v>75</v>
      </c>
      <c r="B102" s="21" t="s">
        <v>39</v>
      </c>
      <c r="C102" s="21" t="s">
        <v>25</v>
      </c>
      <c r="D102" s="17" t="s">
        <v>13</v>
      </c>
      <c r="E102" s="17">
        <v>585.97</v>
      </c>
      <c r="F102" s="17">
        <v>17</v>
      </c>
      <c r="G102" s="17">
        <v>0.1</v>
      </c>
      <c r="H102" s="18">
        <v>45565</v>
      </c>
      <c r="I102" s="17">
        <f t="shared" si="4"/>
        <v>527.37300000000005</v>
      </c>
      <c r="J102" s="19">
        <f t="shared" si="5"/>
        <v>0.6898305373995256</v>
      </c>
      <c r="K102" s="20">
        <f t="shared" ca="1" si="6"/>
        <v>46140.516403240741</v>
      </c>
      <c r="L102" s="15" t="str">
        <f t="shared" si="7"/>
        <v>Sep-24</v>
      </c>
    </row>
    <row r="103" spans="1:12" ht="15.75" customHeight="1" x14ac:dyDescent="0.35">
      <c r="A103" s="21" t="s">
        <v>61</v>
      </c>
      <c r="B103" s="21" t="s">
        <v>27</v>
      </c>
      <c r="C103" s="21" t="s">
        <v>25</v>
      </c>
      <c r="D103" s="17" t="s">
        <v>16</v>
      </c>
      <c r="E103" s="17">
        <v>990.19</v>
      </c>
      <c r="F103" s="17">
        <v>8</v>
      </c>
      <c r="G103" s="17">
        <v>0.1</v>
      </c>
      <c r="H103" s="18">
        <v>45565</v>
      </c>
      <c r="I103" s="17">
        <f t="shared" si="4"/>
        <v>891.17100000000005</v>
      </c>
      <c r="J103" s="19">
        <f t="shared" si="5"/>
        <v>2.413678182974982E-2</v>
      </c>
      <c r="K103" s="20">
        <f t="shared" ca="1" si="6"/>
        <v>46140.516403240741</v>
      </c>
      <c r="L103" s="15" t="str">
        <f t="shared" si="7"/>
        <v>Sep-24</v>
      </c>
    </row>
    <row r="104" spans="1:12" ht="15.75" customHeight="1" x14ac:dyDescent="0.35">
      <c r="A104" s="21" t="s">
        <v>45</v>
      </c>
      <c r="B104" s="21" t="s">
        <v>57</v>
      </c>
      <c r="C104" s="21" t="s">
        <v>35</v>
      </c>
      <c r="D104" s="17" t="s">
        <v>22</v>
      </c>
      <c r="E104" s="17">
        <v>1014.09</v>
      </c>
      <c r="F104" s="17">
        <v>13</v>
      </c>
      <c r="G104" s="17">
        <v>0.2</v>
      </c>
      <c r="H104" s="18">
        <v>45567</v>
      </c>
      <c r="I104" s="17">
        <f t="shared" si="4"/>
        <v>811.27200000000005</v>
      </c>
      <c r="J104" s="19">
        <f t="shared" si="5"/>
        <v>-8.7566192349791502E-2</v>
      </c>
      <c r="K104" s="20">
        <f t="shared" ca="1" si="6"/>
        <v>46140.516403240741</v>
      </c>
      <c r="L104" s="15" t="str">
        <f t="shared" si="7"/>
        <v>Oct-24</v>
      </c>
    </row>
    <row r="105" spans="1:12" ht="15.75" customHeight="1" x14ac:dyDescent="0.35">
      <c r="A105" s="21" t="s">
        <v>14</v>
      </c>
      <c r="B105" s="21" t="s">
        <v>49</v>
      </c>
      <c r="C105" s="21" t="s">
        <v>25</v>
      </c>
      <c r="D105" s="17" t="s">
        <v>22</v>
      </c>
      <c r="E105" s="17">
        <v>925.29</v>
      </c>
      <c r="F105" s="17">
        <v>17</v>
      </c>
      <c r="G105" s="17">
        <v>0</v>
      </c>
      <c r="H105" s="18">
        <v>45570</v>
      </c>
      <c r="I105" s="17">
        <f t="shared" si="4"/>
        <v>925.29</v>
      </c>
      <c r="J105" s="19">
        <f t="shared" si="5"/>
        <v>0.39041813917798746</v>
      </c>
      <c r="K105" s="20">
        <f t="shared" ca="1" si="6"/>
        <v>46140.516403240741</v>
      </c>
      <c r="L105" s="15" t="str">
        <f t="shared" si="7"/>
        <v>Oct-24</v>
      </c>
    </row>
    <row r="106" spans="1:12" ht="15.75" customHeight="1" x14ac:dyDescent="0.35">
      <c r="A106" s="21" t="s">
        <v>55</v>
      </c>
      <c r="B106" s="21" t="s">
        <v>48</v>
      </c>
      <c r="C106" s="21" t="s">
        <v>19</v>
      </c>
      <c r="D106" s="17" t="s">
        <v>28</v>
      </c>
      <c r="E106" s="17">
        <v>1286.54</v>
      </c>
      <c r="F106" s="17">
        <v>8</v>
      </c>
      <c r="G106" s="17">
        <v>0</v>
      </c>
      <c r="H106" s="18">
        <v>45575</v>
      </c>
      <c r="I106" s="17">
        <f t="shared" si="4"/>
        <v>1286.54</v>
      </c>
      <c r="J106" s="19">
        <f t="shared" si="5"/>
        <v>-0.25255336017535401</v>
      </c>
      <c r="K106" s="20">
        <f t="shared" ca="1" si="6"/>
        <v>46140.516403240741</v>
      </c>
      <c r="L106" s="15" t="str">
        <f t="shared" si="7"/>
        <v>Oct-24</v>
      </c>
    </row>
    <row r="107" spans="1:12" ht="15.75" customHeight="1" x14ac:dyDescent="0.35">
      <c r="A107" s="21" t="s">
        <v>38</v>
      </c>
      <c r="B107" s="21" t="s">
        <v>65</v>
      </c>
      <c r="C107" s="21" t="s">
        <v>21</v>
      </c>
      <c r="D107" s="17" t="s">
        <v>13</v>
      </c>
      <c r="E107" s="17">
        <v>961.62</v>
      </c>
      <c r="F107" s="17">
        <v>8</v>
      </c>
      <c r="G107" s="17">
        <v>0.2</v>
      </c>
      <c r="H107" s="18">
        <v>45577</v>
      </c>
      <c r="I107" s="17">
        <f t="shared" si="4"/>
        <v>769.29600000000005</v>
      </c>
      <c r="J107" s="19">
        <f t="shared" si="5"/>
        <v>0.12429026018593634</v>
      </c>
      <c r="K107" s="20">
        <f t="shared" ca="1" si="6"/>
        <v>46140.516403240741</v>
      </c>
      <c r="L107" s="15" t="str">
        <f t="shared" si="7"/>
        <v>Oct-24</v>
      </c>
    </row>
    <row r="108" spans="1:12" ht="15.75" customHeight="1" x14ac:dyDescent="0.35">
      <c r="A108" s="21" t="s">
        <v>45</v>
      </c>
      <c r="B108" s="21" t="s">
        <v>24</v>
      </c>
      <c r="C108" s="21" t="s">
        <v>19</v>
      </c>
      <c r="D108" s="17" t="s">
        <v>13</v>
      </c>
      <c r="E108" s="17">
        <v>1081.1400000000001</v>
      </c>
      <c r="F108" s="17">
        <v>19</v>
      </c>
      <c r="G108" s="17">
        <v>0.15</v>
      </c>
      <c r="H108" s="18">
        <v>45577</v>
      </c>
      <c r="I108" s="17">
        <f t="shared" si="4"/>
        <v>918.96900000000005</v>
      </c>
      <c r="J108" s="19">
        <f t="shared" si="5"/>
        <v>0.77928852877518162</v>
      </c>
      <c r="K108" s="20">
        <f t="shared" ca="1" si="6"/>
        <v>46140.516403240741</v>
      </c>
      <c r="L108" s="15" t="str">
        <f t="shared" si="7"/>
        <v>Oct-24</v>
      </c>
    </row>
    <row r="109" spans="1:12" ht="15.75" customHeight="1" x14ac:dyDescent="0.35">
      <c r="A109" s="21" t="s">
        <v>59</v>
      </c>
      <c r="B109" s="21" t="s">
        <v>24</v>
      </c>
      <c r="C109" s="21" t="s">
        <v>12</v>
      </c>
      <c r="D109" s="17" t="s">
        <v>16</v>
      </c>
      <c r="E109" s="17">
        <v>1923.66</v>
      </c>
      <c r="F109" s="17">
        <v>9</v>
      </c>
      <c r="G109" s="17">
        <v>0.2</v>
      </c>
      <c r="H109" s="18">
        <v>45580</v>
      </c>
      <c r="I109" s="17">
        <f t="shared" si="4"/>
        <v>1538.9280000000001</v>
      </c>
      <c r="J109" s="19">
        <f t="shared" si="5"/>
        <v>-0.62118565650894653</v>
      </c>
      <c r="K109" s="20">
        <f t="shared" ca="1" si="6"/>
        <v>46140.516403240741</v>
      </c>
      <c r="L109" s="15" t="str">
        <f t="shared" si="7"/>
        <v>Oct-24</v>
      </c>
    </row>
    <row r="110" spans="1:12" ht="15.75" customHeight="1" x14ac:dyDescent="0.35">
      <c r="A110" s="21" t="s">
        <v>55</v>
      </c>
      <c r="B110" s="21" t="s">
        <v>67</v>
      </c>
      <c r="C110" s="21" t="s">
        <v>35</v>
      </c>
      <c r="D110" s="17" t="s">
        <v>16</v>
      </c>
      <c r="E110" s="17">
        <v>728.71</v>
      </c>
      <c r="F110" s="17">
        <v>14</v>
      </c>
      <c r="G110" s="17">
        <v>0.1</v>
      </c>
      <c r="H110" s="18">
        <v>45581</v>
      </c>
      <c r="I110" s="17">
        <f t="shared" si="4"/>
        <v>655.83900000000006</v>
      </c>
      <c r="J110" s="19">
        <f t="shared" si="5"/>
        <v>0.78656804490126397</v>
      </c>
      <c r="K110" s="20">
        <f t="shared" ca="1" si="6"/>
        <v>46140.516403240741</v>
      </c>
      <c r="L110" s="15" t="str">
        <f t="shared" si="7"/>
        <v>Oct-24</v>
      </c>
    </row>
    <row r="111" spans="1:12" ht="15.75" customHeight="1" x14ac:dyDescent="0.35">
      <c r="A111" s="21" t="s">
        <v>10</v>
      </c>
      <c r="B111" s="21" t="s">
        <v>34</v>
      </c>
      <c r="C111" s="21" t="s">
        <v>35</v>
      </c>
      <c r="D111" s="17" t="s">
        <v>16</v>
      </c>
      <c r="E111" s="17">
        <v>1301.8900000000001</v>
      </c>
      <c r="F111" s="17">
        <v>7</v>
      </c>
      <c r="G111" s="17">
        <v>0.15</v>
      </c>
      <c r="H111" s="18">
        <v>45581</v>
      </c>
      <c r="I111" s="17">
        <f t="shared" si="4"/>
        <v>1106.6065000000001</v>
      </c>
      <c r="J111" s="19">
        <f t="shared" si="5"/>
        <v>-0.24710997088847761</v>
      </c>
      <c r="K111" s="20">
        <f t="shared" ca="1" si="6"/>
        <v>46140.516403240741</v>
      </c>
      <c r="L111" s="15" t="str">
        <f t="shared" si="7"/>
        <v>Oct-24</v>
      </c>
    </row>
    <row r="112" spans="1:12" ht="15.75" customHeight="1" x14ac:dyDescent="0.35">
      <c r="A112" s="21" t="s">
        <v>71</v>
      </c>
      <c r="B112" s="21" t="s">
        <v>67</v>
      </c>
      <c r="C112" s="21" t="s">
        <v>19</v>
      </c>
      <c r="D112" s="17" t="s">
        <v>13</v>
      </c>
      <c r="E112" s="17">
        <v>980.18</v>
      </c>
      <c r="F112" s="17">
        <v>16</v>
      </c>
      <c r="G112" s="17">
        <v>0.1</v>
      </c>
      <c r="H112" s="18">
        <v>45582</v>
      </c>
      <c r="I112" s="17">
        <f t="shared" si="4"/>
        <v>882.16199999999992</v>
      </c>
      <c r="J112" s="19">
        <f t="shared" si="5"/>
        <v>-0.28832459344202077</v>
      </c>
      <c r="K112" s="20">
        <f t="shared" ca="1" si="6"/>
        <v>46140.516403240741</v>
      </c>
      <c r="L112" s="15" t="str">
        <f t="shared" si="7"/>
        <v>Oct-24</v>
      </c>
    </row>
    <row r="113" spans="1:12" ht="15.75" customHeight="1" x14ac:dyDescent="0.35">
      <c r="A113" s="21" t="s">
        <v>75</v>
      </c>
      <c r="B113" s="21" t="s">
        <v>24</v>
      </c>
      <c r="C113" s="21" t="s">
        <v>12</v>
      </c>
      <c r="D113" s="17" t="s">
        <v>16</v>
      </c>
      <c r="E113" s="17">
        <v>697.57</v>
      </c>
      <c r="F113" s="17">
        <v>17</v>
      </c>
      <c r="G113" s="17">
        <v>0.1</v>
      </c>
      <c r="H113" s="18">
        <v>45584</v>
      </c>
      <c r="I113" s="17">
        <f t="shared" si="4"/>
        <v>627.8130000000001</v>
      </c>
      <c r="J113" s="19">
        <f t="shared" si="5"/>
        <v>0.71109709419843148</v>
      </c>
      <c r="K113" s="20">
        <f t="shared" ca="1" si="6"/>
        <v>46140.516403240741</v>
      </c>
      <c r="L113" s="15" t="str">
        <f t="shared" si="7"/>
        <v>Oct-24</v>
      </c>
    </row>
    <row r="114" spans="1:12" ht="15.75" customHeight="1" x14ac:dyDescent="0.35">
      <c r="A114" s="21" t="s">
        <v>47</v>
      </c>
      <c r="B114" s="21" t="s">
        <v>72</v>
      </c>
      <c r="C114" s="21" t="s">
        <v>12</v>
      </c>
      <c r="D114" s="17" t="s">
        <v>28</v>
      </c>
      <c r="E114" s="17">
        <v>1193.6099999999999</v>
      </c>
      <c r="F114" s="17">
        <v>1</v>
      </c>
      <c r="G114" s="17">
        <v>0.15</v>
      </c>
      <c r="H114" s="18">
        <v>45584</v>
      </c>
      <c r="I114" s="17">
        <f t="shared" si="4"/>
        <v>1014.5684999999999</v>
      </c>
      <c r="J114" s="19">
        <f t="shared" si="5"/>
        <v>-0.35404361558633052</v>
      </c>
      <c r="K114" s="20">
        <f t="shared" ca="1" si="6"/>
        <v>46140.516403240741</v>
      </c>
      <c r="L114" s="15" t="str">
        <f t="shared" si="7"/>
        <v>Oct-24</v>
      </c>
    </row>
    <row r="115" spans="1:12" ht="15.75" customHeight="1" x14ac:dyDescent="0.35">
      <c r="A115" s="21" t="s">
        <v>33</v>
      </c>
      <c r="B115" s="21" t="s">
        <v>39</v>
      </c>
      <c r="C115" s="21" t="s">
        <v>21</v>
      </c>
      <c r="D115" s="17" t="s">
        <v>22</v>
      </c>
      <c r="E115" s="17">
        <v>771.02</v>
      </c>
      <c r="F115" s="17">
        <v>1</v>
      </c>
      <c r="G115" s="17">
        <v>0</v>
      </c>
      <c r="H115" s="18">
        <v>45585</v>
      </c>
      <c r="I115" s="17">
        <f t="shared" si="4"/>
        <v>771.02</v>
      </c>
      <c r="J115" s="19">
        <f t="shared" si="5"/>
        <v>-0.1425773650488962</v>
      </c>
      <c r="K115" s="20">
        <f t="shared" ca="1" si="6"/>
        <v>46140.516403240741</v>
      </c>
      <c r="L115" s="15" t="str">
        <f t="shared" si="7"/>
        <v>Oct-24</v>
      </c>
    </row>
    <row r="116" spans="1:12" ht="15.75" customHeight="1" x14ac:dyDescent="0.35">
      <c r="A116" s="21" t="s">
        <v>68</v>
      </c>
      <c r="B116" s="21" t="s">
        <v>70</v>
      </c>
      <c r="C116" s="21" t="s">
        <v>25</v>
      </c>
      <c r="D116" s="17" t="s">
        <v>16</v>
      </c>
      <c r="E116" s="17">
        <v>661.09</v>
      </c>
      <c r="F116" s="17">
        <v>1</v>
      </c>
      <c r="G116" s="17">
        <v>0.2</v>
      </c>
      <c r="H116" s="18">
        <v>45593</v>
      </c>
      <c r="I116" s="17">
        <f t="shared" si="4"/>
        <v>528.87200000000007</v>
      </c>
      <c r="J116" s="19">
        <f t="shared" si="5"/>
        <v>4.1961003796759912E-2</v>
      </c>
      <c r="K116" s="20">
        <f t="shared" ca="1" si="6"/>
        <v>46140.516403240741</v>
      </c>
      <c r="L116" s="15" t="str">
        <f t="shared" si="7"/>
        <v>Oct-24</v>
      </c>
    </row>
    <row r="117" spans="1:12" ht="15.75" customHeight="1" x14ac:dyDescent="0.35">
      <c r="A117" s="21" t="s">
        <v>14</v>
      </c>
      <c r="B117" s="21" t="s">
        <v>56</v>
      </c>
      <c r="C117" s="21" t="s">
        <v>12</v>
      </c>
      <c r="D117" s="17" t="s">
        <v>22</v>
      </c>
      <c r="E117" s="17">
        <v>688.83</v>
      </c>
      <c r="F117" s="17">
        <v>15</v>
      </c>
      <c r="G117" s="17">
        <v>0</v>
      </c>
      <c r="H117" s="18">
        <v>45595</v>
      </c>
      <c r="I117" s="17">
        <f t="shared" si="4"/>
        <v>688.83</v>
      </c>
      <c r="J117" s="19">
        <f t="shared" si="5"/>
        <v>0.81336469085260488</v>
      </c>
      <c r="K117" s="20">
        <f t="shared" ca="1" si="6"/>
        <v>46140.516403240741</v>
      </c>
      <c r="L117" s="15" t="str">
        <f t="shared" si="7"/>
        <v>Oct-24</v>
      </c>
    </row>
    <row r="118" spans="1:12" ht="15.75" customHeight="1" x14ac:dyDescent="0.35">
      <c r="A118" s="21" t="s">
        <v>74</v>
      </c>
      <c r="B118" s="21" t="s">
        <v>30</v>
      </c>
      <c r="C118" s="21" t="s">
        <v>35</v>
      </c>
      <c r="D118" s="17" t="s">
        <v>13</v>
      </c>
      <c r="E118" s="17">
        <v>1249.0999999999999</v>
      </c>
      <c r="F118" s="17">
        <v>4</v>
      </c>
      <c r="G118" s="17">
        <v>0.05</v>
      </c>
      <c r="H118" s="18">
        <v>45597</v>
      </c>
      <c r="I118" s="17">
        <f t="shared" si="4"/>
        <v>1186.645</v>
      </c>
      <c r="J118" s="19">
        <f t="shared" si="5"/>
        <v>-0.18803938835961884</v>
      </c>
      <c r="K118" s="20">
        <f t="shared" ca="1" si="6"/>
        <v>46140.516403240741</v>
      </c>
      <c r="L118" s="15" t="str">
        <f t="shared" si="7"/>
        <v>Nov-24</v>
      </c>
    </row>
    <row r="119" spans="1:12" ht="15.75" customHeight="1" x14ac:dyDescent="0.35">
      <c r="A119" s="21" t="s">
        <v>45</v>
      </c>
      <c r="B119" s="21" t="s">
        <v>24</v>
      </c>
      <c r="C119" s="21" t="s">
        <v>19</v>
      </c>
      <c r="D119" s="17" t="s">
        <v>40</v>
      </c>
      <c r="E119" s="17">
        <v>1014.22</v>
      </c>
      <c r="F119" s="17">
        <v>14</v>
      </c>
      <c r="G119" s="17">
        <v>0.05</v>
      </c>
      <c r="H119" s="18">
        <v>45599</v>
      </c>
      <c r="I119" s="17">
        <f t="shared" si="4"/>
        <v>963.50900000000001</v>
      </c>
      <c r="J119" s="19">
        <f t="shared" si="5"/>
        <v>-3.5889649188538841E-3</v>
      </c>
      <c r="K119" s="20">
        <f t="shared" ca="1" si="6"/>
        <v>46140.516403240741</v>
      </c>
      <c r="L119" s="15" t="str">
        <f t="shared" si="7"/>
        <v>Nov-24</v>
      </c>
    </row>
    <row r="120" spans="1:12" ht="15.75" customHeight="1" x14ac:dyDescent="0.35">
      <c r="A120" s="21" t="s">
        <v>55</v>
      </c>
      <c r="B120" s="21" t="s">
        <v>49</v>
      </c>
      <c r="C120" s="21" t="s">
        <v>19</v>
      </c>
      <c r="D120" s="17" t="s">
        <v>13</v>
      </c>
      <c r="E120" s="17">
        <v>1010.58</v>
      </c>
      <c r="F120" s="17">
        <v>2</v>
      </c>
      <c r="G120" s="17">
        <v>0.15</v>
      </c>
      <c r="H120" s="18">
        <v>45605</v>
      </c>
      <c r="I120" s="17">
        <f t="shared" si="4"/>
        <v>858.99300000000005</v>
      </c>
      <c r="J120" s="19">
        <f t="shared" si="5"/>
        <v>-5.2732094440816238E-2</v>
      </c>
      <c r="K120" s="20">
        <f t="shared" ca="1" si="6"/>
        <v>46140.516403240741</v>
      </c>
      <c r="L120" s="15" t="str">
        <f t="shared" si="7"/>
        <v>Nov-24</v>
      </c>
    </row>
    <row r="121" spans="1:12" ht="15.75" customHeight="1" x14ac:dyDescent="0.35">
      <c r="A121" s="21" t="s">
        <v>31</v>
      </c>
      <c r="B121" s="21" t="s">
        <v>60</v>
      </c>
      <c r="C121" s="21" t="s">
        <v>25</v>
      </c>
      <c r="D121" s="17" t="s">
        <v>28</v>
      </c>
      <c r="E121" s="17">
        <v>957.29</v>
      </c>
      <c r="F121" s="17">
        <v>4</v>
      </c>
      <c r="G121" s="17">
        <v>0.05</v>
      </c>
      <c r="H121" s="18">
        <v>45605</v>
      </c>
      <c r="I121" s="17">
        <f t="shared" si="4"/>
        <v>909.42549999999994</v>
      </c>
      <c r="J121" s="19">
        <f t="shared" si="5"/>
        <v>0.12601197129396538</v>
      </c>
      <c r="K121" s="20">
        <f t="shared" ca="1" si="6"/>
        <v>46140.516403240741</v>
      </c>
      <c r="L121" s="15" t="str">
        <f t="shared" si="7"/>
        <v>Nov-24</v>
      </c>
    </row>
    <row r="122" spans="1:12" ht="15.75" customHeight="1" x14ac:dyDescent="0.35">
      <c r="A122" s="21" t="s">
        <v>29</v>
      </c>
      <c r="B122" s="21" t="s">
        <v>46</v>
      </c>
      <c r="C122" s="21" t="s">
        <v>25</v>
      </c>
      <c r="D122" s="17" t="s">
        <v>28</v>
      </c>
      <c r="E122" s="17">
        <v>1077.92</v>
      </c>
      <c r="F122" s="17">
        <v>3</v>
      </c>
      <c r="G122" s="17">
        <v>0.05</v>
      </c>
      <c r="H122" s="18">
        <v>45608</v>
      </c>
      <c r="I122" s="17">
        <f t="shared" si="4"/>
        <v>1024.0240000000001</v>
      </c>
      <c r="J122" s="19">
        <f t="shared" si="5"/>
        <v>7.8939067834347551E-2</v>
      </c>
      <c r="K122" s="20">
        <f t="shared" ca="1" si="6"/>
        <v>46140.516403240741</v>
      </c>
      <c r="L122" s="15" t="str">
        <f t="shared" si="7"/>
        <v>Nov-24</v>
      </c>
    </row>
    <row r="123" spans="1:12" ht="15.75" customHeight="1" x14ac:dyDescent="0.35">
      <c r="A123" s="21" t="s">
        <v>53</v>
      </c>
      <c r="B123" s="21" t="s">
        <v>51</v>
      </c>
      <c r="C123" s="21" t="s">
        <v>21</v>
      </c>
      <c r="D123" s="17" t="s">
        <v>16</v>
      </c>
      <c r="E123" s="17">
        <v>1163.01</v>
      </c>
      <c r="F123" s="17">
        <v>5</v>
      </c>
      <c r="G123" s="17">
        <v>0</v>
      </c>
      <c r="H123" s="18">
        <v>45611</v>
      </c>
      <c r="I123" s="17">
        <f t="shared" si="4"/>
        <v>1163.01</v>
      </c>
      <c r="J123" s="19">
        <f t="shared" si="5"/>
        <v>-0.12764292654405382</v>
      </c>
      <c r="K123" s="20">
        <f t="shared" ca="1" si="6"/>
        <v>46140.516403240741</v>
      </c>
      <c r="L123" s="15" t="str">
        <f t="shared" si="7"/>
        <v>Nov-24</v>
      </c>
    </row>
    <row r="124" spans="1:12" ht="15.75" customHeight="1" x14ac:dyDescent="0.35">
      <c r="A124" s="21" t="s">
        <v>55</v>
      </c>
      <c r="B124" s="21" t="s">
        <v>46</v>
      </c>
      <c r="C124" s="21" t="s">
        <v>19</v>
      </c>
      <c r="D124" s="17" t="s">
        <v>40</v>
      </c>
      <c r="E124" s="17">
        <v>1014.56</v>
      </c>
      <c r="F124" s="17">
        <v>10</v>
      </c>
      <c r="G124" s="17">
        <v>0.1</v>
      </c>
      <c r="H124" s="18">
        <v>45612</v>
      </c>
      <c r="I124" s="17">
        <f t="shared" si="4"/>
        <v>913.10399999999993</v>
      </c>
      <c r="J124" s="19">
        <f t="shared" si="5"/>
        <v>-0.29226462703043682</v>
      </c>
      <c r="K124" s="20">
        <f t="shared" ca="1" si="6"/>
        <v>46140.516403240741</v>
      </c>
      <c r="L124" s="15" t="str">
        <f t="shared" si="7"/>
        <v>Nov-24</v>
      </c>
    </row>
    <row r="125" spans="1:12" ht="15.75" customHeight="1" x14ac:dyDescent="0.35">
      <c r="A125" s="21" t="s">
        <v>10</v>
      </c>
      <c r="B125" s="21" t="s">
        <v>18</v>
      </c>
      <c r="C125" s="21" t="s">
        <v>21</v>
      </c>
      <c r="D125" s="17" t="s">
        <v>22</v>
      </c>
      <c r="E125" s="17">
        <v>718.04</v>
      </c>
      <c r="F125" s="17">
        <v>14</v>
      </c>
      <c r="G125" s="17">
        <v>0</v>
      </c>
      <c r="H125" s="18">
        <v>45613</v>
      </c>
      <c r="I125" s="17">
        <f t="shared" si="4"/>
        <v>718.04</v>
      </c>
      <c r="J125" s="19">
        <f t="shared" si="5"/>
        <v>0.77963623196479304</v>
      </c>
      <c r="K125" s="20">
        <f t="shared" ca="1" si="6"/>
        <v>46140.516403240741</v>
      </c>
      <c r="L125" s="15" t="str">
        <f t="shared" si="7"/>
        <v>Nov-24</v>
      </c>
    </row>
    <row r="126" spans="1:12" ht="15.75" customHeight="1" x14ac:dyDescent="0.35">
      <c r="A126" s="21" t="s">
        <v>73</v>
      </c>
      <c r="B126" s="21" t="s">
        <v>18</v>
      </c>
      <c r="C126" s="21" t="s">
        <v>35</v>
      </c>
      <c r="D126" s="17" t="s">
        <v>16</v>
      </c>
      <c r="E126" s="17">
        <v>1277.8499999999999</v>
      </c>
      <c r="F126" s="17">
        <v>18</v>
      </c>
      <c r="G126" s="17">
        <v>0.2</v>
      </c>
      <c r="H126" s="18">
        <v>45613</v>
      </c>
      <c r="I126" s="17">
        <f t="shared" si="4"/>
        <v>1022.28</v>
      </c>
      <c r="J126" s="19">
        <f t="shared" si="5"/>
        <v>-0.44693821653558707</v>
      </c>
      <c r="K126" s="20">
        <f t="shared" ca="1" si="6"/>
        <v>46140.516403240741</v>
      </c>
      <c r="L126" s="15" t="str">
        <f t="shared" si="7"/>
        <v>Nov-24</v>
      </c>
    </row>
    <row r="127" spans="1:12" ht="15.75" customHeight="1" x14ac:dyDescent="0.35">
      <c r="A127" s="21" t="s">
        <v>71</v>
      </c>
      <c r="B127" s="21" t="s">
        <v>24</v>
      </c>
      <c r="C127" s="21" t="s">
        <v>25</v>
      </c>
      <c r="D127" s="17" t="s">
        <v>22</v>
      </c>
      <c r="E127" s="17">
        <v>706.73</v>
      </c>
      <c r="F127" s="17">
        <v>1</v>
      </c>
      <c r="G127" s="17">
        <v>0.15</v>
      </c>
      <c r="H127" s="18">
        <v>45613</v>
      </c>
      <c r="I127" s="17">
        <f t="shared" si="4"/>
        <v>600.72050000000002</v>
      </c>
      <c r="J127" s="19">
        <f t="shared" si="5"/>
        <v>0.99593904319895843</v>
      </c>
      <c r="K127" s="20">
        <f t="shared" ca="1" si="6"/>
        <v>46140.516403240741</v>
      </c>
      <c r="L127" s="15" t="str">
        <f t="shared" si="7"/>
        <v>Nov-24</v>
      </c>
    </row>
    <row r="128" spans="1:12" ht="15.75" customHeight="1" x14ac:dyDescent="0.35">
      <c r="A128" s="21" t="s">
        <v>66</v>
      </c>
      <c r="B128" s="21" t="s">
        <v>51</v>
      </c>
      <c r="C128" s="21" t="s">
        <v>19</v>
      </c>
      <c r="D128" s="17" t="s">
        <v>22</v>
      </c>
      <c r="E128" s="17">
        <v>1410.59</v>
      </c>
      <c r="F128" s="17">
        <v>15</v>
      </c>
      <c r="G128" s="17">
        <v>0</v>
      </c>
      <c r="H128" s="18">
        <v>45615</v>
      </c>
      <c r="I128" s="17">
        <f t="shared" si="4"/>
        <v>1410.59</v>
      </c>
      <c r="J128" s="19">
        <f t="shared" si="5"/>
        <v>-4.2719713027881946E-2</v>
      </c>
      <c r="K128" s="20">
        <f t="shared" ca="1" si="6"/>
        <v>46140.516403240741</v>
      </c>
      <c r="L128" s="15" t="str">
        <f t="shared" si="7"/>
        <v>Nov-24</v>
      </c>
    </row>
    <row r="129" spans="1:12" ht="15.75" customHeight="1" x14ac:dyDescent="0.35">
      <c r="A129" s="21" t="s">
        <v>33</v>
      </c>
      <c r="B129" s="21" t="s">
        <v>62</v>
      </c>
      <c r="C129" s="21" t="s">
        <v>21</v>
      </c>
      <c r="D129" s="17" t="s">
        <v>28</v>
      </c>
      <c r="E129" s="17">
        <v>1350.33</v>
      </c>
      <c r="F129" s="17">
        <v>10</v>
      </c>
      <c r="G129" s="17">
        <v>0</v>
      </c>
      <c r="H129" s="18">
        <v>45615</v>
      </c>
      <c r="I129" s="17">
        <f t="shared" si="4"/>
        <v>1350.33</v>
      </c>
      <c r="J129" s="19">
        <f t="shared" si="5"/>
        <v>-0.31929232113631484</v>
      </c>
      <c r="K129" s="20">
        <f t="shared" ca="1" si="6"/>
        <v>46140.516403240741</v>
      </c>
      <c r="L129" s="15" t="str">
        <f t="shared" si="7"/>
        <v>Nov-24</v>
      </c>
    </row>
    <row r="130" spans="1:12" ht="15.75" customHeight="1" x14ac:dyDescent="0.35">
      <c r="A130" s="21" t="s">
        <v>42</v>
      </c>
      <c r="B130" s="21" t="s">
        <v>46</v>
      </c>
      <c r="C130" s="21" t="s">
        <v>19</v>
      </c>
      <c r="D130" s="17" t="s">
        <v>22</v>
      </c>
      <c r="E130" s="17">
        <v>919.18</v>
      </c>
      <c r="F130" s="17">
        <v>4</v>
      </c>
      <c r="G130" s="17">
        <v>0.15</v>
      </c>
      <c r="H130" s="18">
        <v>45615</v>
      </c>
      <c r="I130" s="17">
        <f t="shared" si="4"/>
        <v>781.303</v>
      </c>
      <c r="J130" s="19">
        <f t="shared" si="5"/>
        <v>-0.71876019930807888</v>
      </c>
      <c r="K130" s="20">
        <f t="shared" ca="1" si="6"/>
        <v>46140.516403240741</v>
      </c>
      <c r="L130" s="15" t="str">
        <f t="shared" si="7"/>
        <v>Nov-24</v>
      </c>
    </row>
    <row r="131" spans="1:12" ht="15.75" customHeight="1" x14ac:dyDescent="0.35">
      <c r="A131" s="21" t="s">
        <v>75</v>
      </c>
      <c r="B131" s="21" t="s">
        <v>24</v>
      </c>
      <c r="C131" s="21" t="s">
        <v>12</v>
      </c>
      <c r="D131" s="17" t="s">
        <v>22</v>
      </c>
      <c r="E131" s="17">
        <v>258.51</v>
      </c>
      <c r="F131" s="17">
        <v>19</v>
      </c>
      <c r="G131" s="17">
        <v>0</v>
      </c>
      <c r="H131" s="18">
        <v>45616</v>
      </c>
      <c r="I131" s="17">
        <f t="shared" ref="I131:I194" si="8">E131 - (E131 * G131)</f>
        <v>258.51</v>
      </c>
      <c r="J131" s="19">
        <f t="shared" ref="J131:J194" si="9">(E132-E131)/E131</f>
        <v>3.6941317550578319</v>
      </c>
      <c r="K131" s="20">
        <f t="shared" ref="K131:K194" ca="1" si="10">IF(A131&lt;&gt;"", IF(K131&gt;1, K131, NOW()), "")</f>
        <v>46140.516403240741</v>
      </c>
      <c r="L131" s="15" t="str">
        <f t="shared" ref="L131:L194" si="11">TEXT(H131, "MMM-YY")</f>
        <v>Nov-24</v>
      </c>
    </row>
    <row r="132" spans="1:12" ht="15.75" customHeight="1" x14ac:dyDescent="0.35">
      <c r="A132" s="21" t="s">
        <v>64</v>
      </c>
      <c r="B132" s="21" t="s">
        <v>62</v>
      </c>
      <c r="C132" s="21" t="s">
        <v>19</v>
      </c>
      <c r="D132" s="17" t="s">
        <v>13</v>
      </c>
      <c r="E132" s="17">
        <v>1213.48</v>
      </c>
      <c r="F132" s="17">
        <v>5</v>
      </c>
      <c r="G132" s="17">
        <v>0.05</v>
      </c>
      <c r="H132" s="18">
        <v>45616</v>
      </c>
      <c r="I132" s="17">
        <f t="shared" si="8"/>
        <v>1152.806</v>
      </c>
      <c r="J132" s="19">
        <f t="shared" si="9"/>
        <v>-5.2081616507894689E-2</v>
      </c>
      <c r="K132" s="20">
        <f t="shared" ca="1" si="10"/>
        <v>46140.516403240741</v>
      </c>
      <c r="L132" s="15" t="str">
        <f t="shared" si="11"/>
        <v>Nov-24</v>
      </c>
    </row>
    <row r="133" spans="1:12" ht="15.75" customHeight="1" x14ac:dyDescent="0.35">
      <c r="A133" s="21" t="s">
        <v>58</v>
      </c>
      <c r="B133" s="21" t="s">
        <v>39</v>
      </c>
      <c r="C133" s="21" t="s">
        <v>35</v>
      </c>
      <c r="D133" s="17" t="s">
        <v>13</v>
      </c>
      <c r="E133" s="17">
        <v>1150.28</v>
      </c>
      <c r="F133" s="17">
        <v>8</v>
      </c>
      <c r="G133" s="17">
        <v>0.05</v>
      </c>
      <c r="H133" s="18">
        <v>45622</v>
      </c>
      <c r="I133" s="17">
        <f t="shared" si="8"/>
        <v>1092.7660000000001</v>
      </c>
      <c r="J133" s="19">
        <f t="shared" si="9"/>
        <v>-0.25769377890600548</v>
      </c>
      <c r="K133" s="20">
        <f t="shared" ca="1" si="10"/>
        <v>46140.516403240741</v>
      </c>
      <c r="L133" s="15" t="str">
        <f t="shared" si="11"/>
        <v>Nov-24</v>
      </c>
    </row>
    <row r="134" spans="1:12" ht="15.75" customHeight="1" x14ac:dyDescent="0.35">
      <c r="A134" s="21" t="s">
        <v>38</v>
      </c>
      <c r="B134" s="21" t="s">
        <v>72</v>
      </c>
      <c r="C134" s="21" t="s">
        <v>21</v>
      </c>
      <c r="D134" s="17" t="s">
        <v>28</v>
      </c>
      <c r="E134" s="17">
        <v>853.86</v>
      </c>
      <c r="F134" s="17">
        <v>8</v>
      </c>
      <c r="G134" s="17">
        <v>0.1</v>
      </c>
      <c r="H134" s="18">
        <v>45622</v>
      </c>
      <c r="I134" s="17">
        <f t="shared" si="8"/>
        <v>768.47400000000005</v>
      </c>
      <c r="J134" s="19">
        <f t="shared" si="9"/>
        <v>0.24263930855175314</v>
      </c>
      <c r="K134" s="20">
        <f t="shared" ca="1" si="10"/>
        <v>46140.516403240741</v>
      </c>
      <c r="L134" s="15" t="str">
        <f t="shared" si="11"/>
        <v>Nov-24</v>
      </c>
    </row>
    <row r="135" spans="1:12" ht="15.75" customHeight="1" x14ac:dyDescent="0.35">
      <c r="A135" s="21" t="s">
        <v>76</v>
      </c>
      <c r="B135" s="21" t="s">
        <v>46</v>
      </c>
      <c r="C135" s="21" t="s">
        <v>21</v>
      </c>
      <c r="D135" s="17" t="s">
        <v>22</v>
      </c>
      <c r="E135" s="17">
        <v>1061.04</v>
      </c>
      <c r="F135" s="17">
        <v>1</v>
      </c>
      <c r="G135" s="17">
        <v>0</v>
      </c>
      <c r="H135" s="18">
        <v>45624</v>
      </c>
      <c r="I135" s="17">
        <f t="shared" si="8"/>
        <v>1061.04</v>
      </c>
      <c r="J135" s="19">
        <f t="shared" si="9"/>
        <v>-0.15691208625499511</v>
      </c>
      <c r="K135" s="20">
        <f t="shared" ca="1" si="10"/>
        <v>46140.516403240741</v>
      </c>
      <c r="L135" s="15" t="str">
        <f t="shared" si="11"/>
        <v>Nov-24</v>
      </c>
    </row>
    <row r="136" spans="1:12" ht="15.75" customHeight="1" x14ac:dyDescent="0.35">
      <c r="A136" s="21" t="s">
        <v>29</v>
      </c>
      <c r="B136" s="21" t="s">
        <v>44</v>
      </c>
      <c r="C136" s="21" t="s">
        <v>12</v>
      </c>
      <c r="D136" s="17" t="s">
        <v>22</v>
      </c>
      <c r="E136" s="17">
        <v>894.55</v>
      </c>
      <c r="F136" s="17">
        <v>19</v>
      </c>
      <c r="G136" s="17">
        <v>0.2</v>
      </c>
      <c r="H136" s="18">
        <v>45625</v>
      </c>
      <c r="I136" s="17">
        <f t="shared" si="8"/>
        <v>715.64</v>
      </c>
      <c r="J136" s="19">
        <f t="shared" si="9"/>
        <v>-6.778827343356994E-2</v>
      </c>
      <c r="K136" s="20">
        <f t="shared" ca="1" si="10"/>
        <v>46140.516403240741</v>
      </c>
      <c r="L136" s="15" t="str">
        <f t="shared" si="11"/>
        <v>Nov-24</v>
      </c>
    </row>
    <row r="137" spans="1:12" ht="15.75" customHeight="1" x14ac:dyDescent="0.35">
      <c r="A137" s="21" t="s">
        <v>26</v>
      </c>
      <c r="B137" s="21" t="s">
        <v>39</v>
      </c>
      <c r="C137" s="21" t="s">
        <v>25</v>
      </c>
      <c r="D137" s="17" t="s">
        <v>40</v>
      </c>
      <c r="E137" s="17">
        <v>833.91</v>
      </c>
      <c r="F137" s="17">
        <v>3</v>
      </c>
      <c r="G137" s="17">
        <v>0.05</v>
      </c>
      <c r="H137" s="18">
        <v>45626</v>
      </c>
      <c r="I137" s="17">
        <f t="shared" si="8"/>
        <v>792.21449999999993</v>
      </c>
      <c r="J137" s="19">
        <f t="shared" si="9"/>
        <v>-1.6452614790564826E-2</v>
      </c>
      <c r="K137" s="20">
        <f t="shared" ca="1" si="10"/>
        <v>46140.516403240741</v>
      </c>
      <c r="L137" s="15" t="str">
        <f t="shared" si="11"/>
        <v>Nov-24</v>
      </c>
    </row>
    <row r="138" spans="1:12" ht="15.75" customHeight="1" x14ac:dyDescent="0.35">
      <c r="A138" s="21" t="s">
        <v>59</v>
      </c>
      <c r="B138" s="21" t="s">
        <v>72</v>
      </c>
      <c r="C138" s="21" t="s">
        <v>12</v>
      </c>
      <c r="D138" s="17" t="s">
        <v>28</v>
      </c>
      <c r="E138" s="17">
        <v>820.19</v>
      </c>
      <c r="F138" s="17">
        <v>4</v>
      </c>
      <c r="G138" s="17">
        <v>0.2</v>
      </c>
      <c r="H138" s="18">
        <v>45630</v>
      </c>
      <c r="I138" s="17">
        <f t="shared" si="8"/>
        <v>656.15200000000004</v>
      </c>
      <c r="J138" s="19">
        <f t="shared" si="9"/>
        <v>-0.37607139809068635</v>
      </c>
      <c r="K138" s="20">
        <f t="shared" ca="1" si="10"/>
        <v>46140.516403240741</v>
      </c>
      <c r="L138" s="15" t="str">
        <f t="shared" si="11"/>
        <v>Dec-24</v>
      </c>
    </row>
    <row r="139" spans="1:12" ht="15.75" customHeight="1" x14ac:dyDescent="0.35">
      <c r="A139" s="21" t="s">
        <v>59</v>
      </c>
      <c r="B139" s="21" t="s">
        <v>39</v>
      </c>
      <c r="C139" s="21" t="s">
        <v>35</v>
      </c>
      <c r="D139" s="17" t="s">
        <v>22</v>
      </c>
      <c r="E139" s="17">
        <v>511.74</v>
      </c>
      <c r="F139" s="17">
        <v>8</v>
      </c>
      <c r="G139" s="17">
        <v>0.05</v>
      </c>
      <c r="H139" s="18">
        <v>45631</v>
      </c>
      <c r="I139" s="17">
        <f t="shared" si="8"/>
        <v>486.15300000000002</v>
      </c>
      <c r="J139" s="19">
        <f t="shared" si="9"/>
        <v>0.57507718763434545</v>
      </c>
      <c r="K139" s="20">
        <f t="shared" ca="1" si="10"/>
        <v>46140.516403240741</v>
      </c>
      <c r="L139" s="15" t="str">
        <f t="shared" si="11"/>
        <v>Dec-24</v>
      </c>
    </row>
    <row r="140" spans="1:12" ht="15.75" customHeight="1" x14ac:dyDescent="0.35">
      <c r="A140" s="21" t="s">
        <v>66</v>
      </c>
      <c r="B140" s="21" t="s">
        <v>62</v>
      </c>
      <c r="C140" s="21" t="s">
        <v>21</v>
      </c>
      <c r="D140" s="17" t="s">
        <v>28</v>
      </c>
      <c r="E140" s="17">
        <v>806.03</v>
      </c>
      <c r="F140" s="17">
        <v>19</v>
      </c>
      <c r="G140" s="17">
        <v>0.05</v>
      </c>
      <c r="H140" s="18">
        <v>45638</v>
      </c>
      <c r="I140" s="17">
        <f t="shared" si="8"/>
        <v>765.72849999999994</v>
      </c>
      <c r="J140" s="19">
        <f t="shared" si="9"/>
        <v>0.77719191593365022</v>
      </c>
      <c r="K140" s="20">
        <f t="shared" ca="1" si="10"/>
        <v>46140.516403240741</v>
      </c>
      <c r="L140" s="15" t="str">
        <f t="shared" si="11"/>
        <v>Dec-24</v>
      </c>
    </row>
    <row r="141" spans="1:12" ht="15.75" customHeight="1" x14ac:dyDescent="0.35">
      <c r="A141" s="21" t="s">
        <v>29</v>
      </c>
      <c r="B141" s="21" t="s">
        <v>27</v>
      </c>
      <c r="C141" s="21" t="s">
        <v>35</v>
      </c>
      <c r="D141" s="17" t="s">
        <v>28</v>
      </c>
      <c r="E141" s="17">
        <v>1432.47</v>
      </c>
      <c r="F141" s="17">
        <v>16</v>
      </c>
      <c r="G141" s="17">
        <v>0.15</v>
      </c>
      <c r="H141" s="18">
        <v>45640</v>
      </c>
      <c r="I141" s="17">
        <f t="shared" si="8"/>
        <v>1217.5995</v>
      </c>
      <c r="J141" s="19">
        <f t="shared" si="9"/>
        <v>3.9170104784044271E-2</v>
      </c>
      <c r="K141" s="20">
        <f t="shared" ca="1" si="10"/>
        <v>46140.516403240741</v>
      </c>
      <c r="L141" s="15" t="str">
        <f t="shared" si="11"/>
        <v>Dec-24</v>
      </c>
    </row>
    <row r="142" spans="1:12" ht="15.75" customHeight="1" x14ac:dyDescent="0.35">
      <c r="A142" s="21" t="s">
        <v>75</v>
      </c>
      <c r="B142" s="21" t="s">
        <v>30</v>
      </c>
      <c r="C142" s="21" t="s">
        <v>35</v>
      </c>
      <c r="D142" s="17" t="s">
        <v>22</v>
      </c>
      <c r="E142" s="17">
        <v>1488.58</v>
      </c>
      <c r="F142" s="17">
        <v>10</v>
      </c>
      <c r="G142" s="17">
        <v>0.15</v>
      </c>
      <c r="H142" s="18">
        <v>45640</v>
      </c>
      <c r="I142" s="17">
        <f t="shared" si="8"/>
        <v>1265.2929999999999</v>
      </c>
      <c r="J142" s="19">
        <f t="shared" si="9"/>
        <v>-0.17286272823764928</v>
      </c>
      <c r="K142" s="20">
        <f t="shared" ca="1" si="10"/>
        <v>46140.516403240741</v>
      </c>
      <c r="L142" s="15" t="str">
        <f t="shared" si="11"/>
        <v>Dec-24</v>
      </c>
    </row>
    <row r="143" spans="1:12" ht="15.75" customHeight="1" x14ac:dyDescent="0.35">
      <c r="A143" s="21" t="s">
        <v>31</v>
      </c>
      <c r="B143" s="21" t="s">
        <v>67</v>
      </c>
      <c r="C143" s="21" t="s">
        <v>19</v>
      </c>
      <c r="D143" s="17" t="s">
        <v>13</v>
      </c>
      <c r="E143" s="17">
        <v>1231.26</v>
      </c>
      <c r="F143" s="17">
        <v>9</v>
      </c>
      <c r="G143" s="17">
        <v>0</v>
      </c>
      <c r="H143" s="18">
        <v>45646</v>
      </c>
      <c r="I143" s="17">
        <f t="shared" si="8"/>
        <v>1231.26</v>
      </c>
      <c r="J143" s="19">
        <f t="shared" si="9"/>
        <v>-5.651933791400672E-2</v>
      </c>
      <c r="K143" s="20">
        <f t="shared" ca="1" si="10"/>
        <v>46140.516403240741</v>
      </c>
      <c r="L143" s="15" t="str">
        <f t="shared" si="11"/>
        <v>Dec-24</v>
      </c>
    </row>
    <row r="144" spans="1:12" ht="15.75" customHeight="1" x14ac:dyDescent="0.35">
      <c r="A144" s="21" t="s">
        <v>31</v>
      </c>
      <c r="B144" s="21" t="s">
        <v>44</v>
      </c>
      <c r="C144" s="21" t="s">
        <v>12</v>
      </c>
      <c r="D144" s="17" t="s">
        <v>22</v>
      </c>
      <c r="E144" s="17">
        <v>1161.67</v>
      </c>
      <c r="F144" s="17">
        <v>19</v>
      </c>
      <c r="G144" s="17">
        <v>0.2</v>
      </c>
      <c r="H144" s="18">
        <v>45647</v>
      </c>
      <c r="I144" s="17">
        <f t="shared" si="8"/>
        <v>929.33600000000001</v>
      </c>
      <c r="J144" s="19">
        <f t="shared" si="9"/>
        <v>-0.66580009813458207</v>
      </c>
      <c r="K144" s="20">
        <f t="shared" ca="1" si="10"/>
        <v>46140.516403240741</v>
      </c>
      <c r="L144" s="15" t="str">
        <f t="shared" si="11"/>
        <v>Dec-24</v>
      </c>
    </row>
    <row r="145" spans="1:12" ht="15.75" customHeight="1" x14ac:dyDescent="0.35">
      <c r="A145" s="21" t="s">
        <v>50</v>
      </c>
      <c r="B145" s="21" t="s">
        <v>46</v>
      </c>
      <c r="C145" s="21" t="s">
        <v>35</v>
      </c>
      <c r="D145" s="17" t="s">
        <v>40</v>
      </c>
      <c r="E145" s="17">
        <v>388.23</v>
      </c>
      <c r="F145" s="17">
        <v>16</v>
      </c>
      <c r="G145" s="17">
        <v>0.05</v>
      </c>
      <c r="H145" s="18">
        <v>45650</v>
      </c>
      <c r="I145" s="17">
        <f t="shared" si="8"/>
        <v>368.81850000000003</v>
      </c>
      <c r="J145" s="19">
        <f t="shared" si="9"/>
        <v>3.0940164335574272</v>
      </c>
      <c r="K145" s="20">
        <f t="shared" ca="1" si="10"/>
        <v>46140.516403240741</v>
      </c>
      <c r="L145" s="15" t="str">
        <f t="shared" si="11"/>
        <v>Dec-24</v>
      </c>
    </row>
    <row r="146" spans="1:12" ht="15.75" customHeight="1" x14ac:dyDescent="0.35">
      <c r="A146" s="21" t="s">
        <v>73</v>
      </c>
      <c r="B146" s="21" t="s">
        <v>32</v>
      </c>
      <c r="C146" s="21" t="s">
        <v>25</v>
      </c>
      <c r="D146" s="17" t="s">
        <v>16</v>
      </c>
      <c r="E146" s="17">
        <v>1589.42</v>
      </c>
      <c r="F146" s="17">
        <v>6</v>
      </c>
      <c r="G146" s="17">
        <v>0.15</v>
      </c>
      <c r="H146" s="18">
        <v>45651</v>
      </c>
      <c r="I146" s="17">
        <f t="shared" si="8"/>
        <v>1351.0070000000001</v>
      </c>
      <c r="J146" s="19">
        <f t="shared" si="9"/>
        <v>-0.78818688578223495</v>
      </c>
      <c r="K146" s="20">
        <f t="shared" ca="1" si="10"/>
        <v>46140.516403240741</v>
      </c>
      <c r="L146" s="15" t="str">
        <f t="shared" si="11"/>
        <v>Dec-24</v>
      </c>
    </row>
    <row r="147" spans="1:12" ht="15.75" customHeight="1" x14ac:dyDescent="0.35">
      <c r="A147" s="21" t="s">
        <v>29</v>
      </c>
      <c r="B147" s="21" t="s">
        <v>72</v>
      </c>
      <c r="C147" s="21" t="s">
        <v>25</v>
      </c>
      <c r="D147" s="17" t="s">
        <v>16</v>
      </c>
      <c r="E147" s="17">
        <v>336.66</v>
      </c>
      <c r="F147" s="17">
        <v>13</v>
      </c>
      <c r="G147" s="17">
        <v>0.2</v>
      </c>
      <c r="H147" s="18">
        <v>45651</v>
      </c>
      <c r="I147" s="17">
        <f t="shared" si="8"/>
        <v>269.32800000000003</v>
      </c>
      <c r="J147" s="19">
        <f t="shared" si="9"/>
        <v>3.0212380443177085</v>
      </c>
      <c r="K147" s="20">
        <f t="shared" ca="1" si="10"/>
        <v>46140.516403240741</v>
      </c>
      <c r="L147" s="15" t="str">
        <f t="shared" si="11"/>
        <v>Dec-24</v>
      </c>
    </row>
    <row r="148" spans="1:12" ht="15.75" customHeight="1" x14ac:dyDescent="0.35">
      <c r="A148" s="21" t="s">
        <v>50</v>
      </c>
      <c r="B148" s="21" t="s">
        <v>24</v>
      </c>
      <c r="C148" s="21" t="s">
        <v>12</v>
      </c>
      <c r="D148" s="17" t="s">
        <v>13</v>
      </c>
      <c r="E148" s="17">
        <v>1353.79</v>
      </c>
      <c r="F148" s="17">
        <v>14</v>
      </c>
      <c r="G148" s="17">
        <v>0.1</v>
      </c>
      <c r="H148" s="18">
        <v>45656</v>
      </c>
      <c r="I148" s="17">
        <f t="shared" si="8"/>
        <v>1218.4110000000001</v>
      </c>
      <c r="J148" s="19">
        <f t="shared" si="9"/>
        <v>-0.51055185811684234</v>
      </c>
      <c r="K148" s="20">
        <f t="shared" ca="1" si="10"/>
        <v>46140.516403240741</v>
      </c>
      <c r="L148" s="15" t="str">
        <f t="shared" si="11"/>
        <v>Dec-24</v>
      </c>
    </row>
    <row r="149" spans="1:12" ht="15.75" customHeight="1" x14ac:dyDescent="0.35">
      <c r="A149" s="21" t="s">
        <v>64</v>
      </c>
      <c r="B149" s="21" t="s">
        <v>70</v>
      </c>
      <c r="C149" s="21" t="s">
        <v>35</v>
      </c>
      <c r="D149" s="17" t="s">
        <v>16</v>
      </c>
      <c r="E149" s="17">
        <v>662.61</v>
      </c>
      <c r="F149" s="17">
        <v>11</v>
      </c>
      <c r="G149" s="17">
        <v>0.05</v>
      </c>
      <c r="H149" s="18">
        <v>45658</v>
      </c>
      <c r="I149" s="17">
        <f t="shared" si="8"/>
        <v>629.47950000000003</v>
      </c>
      <c r="J149" s="19">
        <f t="shared" si="9"/>
        <v>-0.53302847829039701</v>
      </c>
      <c r="K149" s="20">
        <f t="shared" ca="1" si="10"/>
        <v>46140.516403240741</v>
      </c>
      <c r="L149" s="15" t="str">
        <f t="shared" si="11"/>
        <v>Jan-25</v>
      </c>
    </row>
    <row r="150" spans="1:12" ht="15.75" customHeight="1" x14ac:dyDescent="0.35">
      <c r="A150" s="21" t="s">
        <v>53</v>
      </c>
      <c r="B150" s="21" t="s">
        <v>49</v>
      </c>
      <c r="C150" s="21" t="s">
        <v>25</v>
      </c>
      <c r="D150" s="17" t="s">
        <v>40</v>
      </c>
      <c r="E150" s="17">
        <v>309.42</v>
      </c>
      <c r="F150" s="17">
        <v>1</v>
      </c>
      <c r="G150" s="17">
        <v>0.2</v>
      </c>
      <c r="H150" s="18">
        <v>45658</v>
      </c>
      <c r="I150" s="17">
        <f t="shared" si="8"/>
        <v>247.536</v>
      </c>
      <c r="J150" s="19">
        <f t="shared" si="9"/>
        <v>1.8589942473014027</v>
      </c>
      <c r="K150" s="20">
        <f t="shared" ca="1" si="10"/>
        <v>46140.516403240741</v>
      </c>
      <c r="L150" s="15" t="str">
        <f t="shared" si="11"/>
        <v>Jan-25</v>
      </c>
    </row>
    <row r="151" spans="1:12" ht="15.75" customHeight="1" x14ac:dyDescent="0.35">
      <c r="A151" s="21" t="s">
        <v>64</v>
      </c>
      <c r="B151" s="21" t="s">
        <v>30</v>
      </c>
      <c r="C151" s="21" t="s">
        <v>25</v>
      </c>
      <c r="D151" s="17" t="s">
        <v>13</v>
      </c>
      <c r="E151" s="17">
        <v>884.63</v>
      </c>
      <c r="F151" s="17">
        <v>18</v>
      </c>
      <c r="G151" s="17">
        <v>0.1</v>
      </c>
      <c r="H151" s="18">
        <v>45659</v>
      </c>
      <c r="I151" s="17">
        <f t="shared" si="8"/>
        <v>796.16700000000003</v>
      </c>
      <c r="J151" s="19">
        <f t="shared" si="9"/>
        <v>-0.15778348009902449</v>
      </c>
      <c r="K151" s="20">
        <f t="shared" ca="1" si="10"/>
        <v>46140.516403240741</v>
      </c>
      <c r="L151" s="15" t="str">
        <f t="shared" si="11"/>
        <v>Jan-25</v>
      </c>
    </row>
    <row r="152" spans="1:12" ht="15.75" customHeight="1" x14ac:dyDescent="0.35">
      <c r="A152" s="21" t="s">
        <v>53</v>
      </c>
      <c r="B152" s="21" t="s">
        <v>24</v>
      </c>
      <c r="C152" s="21" t="s">
        <v>35</v>
      </c>
      <c r="D152" s="17" t="s">
        <v>40</v>
      </c>
      <c r="E152" s="17">
        <v>745.05</v>
      </c>
      <c r="F152" s="17">
        <v>10</v>
      </c>
      <c r="G152" s="17">
        <v>0.1</v>
      </c>
      <c r="H152" s="18">
        <v>45660</v>
      </c>
      <c r="I152" s="17">
        <f t="shared" si="8"/>
        <v>670.54499999999996</v>
      </c>
      <c r="J152" s="19">
        <f t="shared" si="9"/>
        <v>0.16801556942487092</v>
      </c>
      <c r="K152" s="20">
        <f t="shared" ca="1" si="10"/>
        <v>46140.516403240741</v>
      </c>
      <c r="L152" s="15" t="str">
        <f t="shared" si="11"/>
        <v>Jan-25</v>
      </c>
    </row>
    <row r="153" spans="1:12" ht="15.75" customHeight="1" x14ac:dyDescent="0.35">
      <c r="A153" s="21" t="s">
        <v>61</v>
      </c>
      <c r="B153" s="21" t="s">
        <v>18</v>
      </c>
      <c r="C153" s="21" t="s">
        <v>21</v>
      </c>
      <c r="D153" s="17" t="s">
        <v>16</v>
      </c>
      <c r="E153" s="17">
        <v>870.23</v>
      </c>
      <c r="F153" s="17">
        <v>5</v>
      </c>
      <c r="G153" s="17">
        <v>0.05</v>
      </c>
      <c r="H153" s="18">
        <v>45660</v>
      </c>
      <c r="I153" s="17">
        <f t="shared" si="8"/>
        <v>826.71850000000006</v>
      </c>
      <c r="J153" s="19">
        <f t="shared" si="9"/>
        <v>-9.2389368327912887E-3</v>
      </c>
      <c r="K153" s="20">
        <f t="shared" ca="1" si="10"/>
        <v>46140.516403240741</v>
      </c>
      <c r="L153" s="15" t="str">
        <f t="shared" si="11"/>
        <v>Jan-25</v>
      </c>
    </row>
    <row r="154" spans="1:12" ht="15.75" customHeight="1" x14ac:dyDescent="0.35">
      <c r="A154" s="21" t="s">
        <v>36</v>
      </c>
      <c r="B154" s="21" t="s">
        <v>30</v>
      </c>
      <c r="C154" s="21" t="s">
        <v>12</v>
      </c>
      <c r="D154" s="17" t="s">
        <v>28</v>
      </c>
      <c r="E154" s="17">
        <v>862.19</v>
      </c>
      <c r="F154" s="17">
        <v>18</v>
      </c>
      <c r="G154" s="17">
        <v>0.05</v>
      </c>
      <c r="H154" s="18">
        <v>45663</v>
      </c>
      <c r="I154" s="17">
        <f t="shared" si="8"/>
        <v>819.08050000000003</v>
      </c>
      <c r="J154" s="19">
        <f t="shared" si="9"/>
        <v>0.3583780837170461</v>
      </c>
      <c r="K154" s="20">
        <f t="shared" ca="1" si="10"/>
        <v>46140.516403240741</v>
      </c>
      <c r="L154" s="15" t="str">
        <f t="shared" si="11"/>
        <v>Jan-25</v>
      </c>
    </row>
    <row r="155" spans="1:12" ht="15.75" customHeight="1" x14ac:dyDescent="0.35">
      <c r="A155" s="21" t="s">
        <v>74</v>
      </c>
      <c r="B155" s="21" t="s">
        <v>60</v>
      </c>
      <c r="C155" s="21" t="s">
        <v>25</v>
      </c>
      <c r="D155" s="17" t="s">
        <v>16</v>
      </c>
      <c r="E155" s="17">
        <v>1171.18</v>
      </c>
      <c r="F155" s="17">
        <v>19</v>
      </c>
      <c r="G155" s="17">
        <v>0.05</v>
      </c>
      <c r="H155" s="18">
        <v>45667</v>
      </c>
      <c r="I155" s="17">
        <f t="shared" si="8"/>
        <v>1112.6210000000001</v>
      </c>
      <c r="J155" s="19">
        <f t="shared" si="9"/>
        <v>-9.9574787820830374E-2</v>
      </c>
      <c r="K155" s="20">
        <f t="shared" ca="1" si="10"/>
        <v>46140.516403240741</v>
      </c>
      <c r="L155" s="15" t="str">
        <f t="shared" si="11"/>
        <v>Jan-25</v>
      </c>
    </row>
    <row r="156" spans="1:12" ht="15.75" customHeight="1" x14ac:dyDescent="0.35">
      <c r="A156" s="21" t="s">
        <v>59</v>
      </c>
      <c r="B156" s="21" t="s">
        <v>15</v>
      </c>
      <c r="C156" s="21" t="s">
        <v>21</v>
      </c>
      <c r="D156" s="17" t="s">
        <v>28</v>
      </c>
      <c r="E156" s="17">
        <v>1054.56</v>
      </c>
      <c r="F156" s="17">
        <v>11</v>
      </c>
      <c r="G156" s="17">
        <v>0.1</v>
      </c>
      <c r="H156" s="18">
        <v>45669</v>
      </c>
      <c r="I156" s="17">
        <f t="shared" si="8"/>
        <v>949.10399999999993</v>
      </c>
      <c r="J156" s="19">
        <f t="shared" si="9"/>
        <v>0.59422887270520419</v>
      </c>
      <c r="K156" s="20">
        <f t="shared" ca="1" si="10"/>
        <v>46140.516403240741</v>
      </c>
      <c r="L156" s="15" t="str">
        <f t="shared" si="11"/>
        <v>Jan-25</v>
      </c>
    </row>
    <row r="157" spans="1:12" ht="15.75" customHeight="1" x14ac:dyDescent="0.35">
      <c r="A157" s="21" t="s">
        <v>59</v>
      </c>
      <c r="B157" s="21" t="s">
        <v>24</v>
      </c>
      <c r="C157" s="21" t="s">
        <v>25</v>
      </c>
      <c r="D157" s="17" t="s">
        <v>22</v>
      </c>
      <c r="E157" s="17">
        <v>1681.21</v>
      </c>
      <c r="F157" s="17">
        <v>5</v>
      </c>
      <c r="G157" s="17">
        <v>0.2</v>
      </c>
      <c r="H157" s="18">
        <v>45670</v>
      </c>
      <c r="I157" s="17">
        <f t="shared" si="8"/>
        <v>1344.9680000000001</v>
      </c>
      <c r="J157" s="19">
        <f t="shared" si="9"/>
        <v>-0.77410912378584473</v>
      </c>
      <c r="K157" s="20">
        <f t="shared" ca="1" si="10"/>
        <v>46140.516403240741</v>
      </c>
      <c r="L157" s="15" t="str">
        <f t="shared" si="11"/>
        <v>Jan-25</v>
      </c>
    </row>
    <row r="158" spans="1:12" ht="15.75" customHeight="1" x14ac:dyDescent="0.35">
      <c r="A158" s="21" t="s">
        <v>59</v>
      </c>
      <c r="B158" s="21" t="s">
        <v>37</v>
      </c>
      <c r="C158" s="21" t="s">
        <v>12</v>
      </c>
      <c r="D158" s="17" t="s">
        <v>16</v>
      </c>
      <c r="E158" s="17">
        <v>379.77</v>
      </c>
      <c r="F158" s="17">
        <v>9</v>
      </c>
      <c r="G158" s="17">
        <v>0.05</v>
      </c>
      <c r="H158" s="18">
        <v>45673</v>
      </c>
      <c r="I158" s="17">
        <f t="shared" si="8"/>
        <v>360.78149999999999</v>
      </c>
      <c r="J158" s="19">
        <f t="shared" si="9"/>
        <v>1.8341627827369196</v>
      </c>
      <c r="K158" s="20">
        <f t="shared" ca="1" si="10"/>
        <v>46140.516403240741</v>
      </c>
      <c r="L158" s="15" t="str">
        <f t="shared" si="11"/>
        <v>Jan-25</v>
      </c>
    </row>
    <row r="159" spans="1:12" ht="15.75" customHeight="1" x14ac:dyDescent="0.35">
      <c r="A159" s="21" t="s">
        <v>45</v>
      </c>
      <c r="B159" s="21" t="s">
        <v>46</v>
      </c>
      <c r="C159" s="21" t="s">
        <v>35</v>
      </c>
      <c r="D159" s="17" t="s">
        <v>16</v>
      </c>
      <c r="E159" s="17">
        <v>1076.33</v>
      </c>
      <c r="F159" s="17">
        <v>2</v>
      </c>
      <c r="G159" s="17">
        <v>0.1</v>
      </c>
      <c r="H159" s="18">
        <v>45674</v>
      </c>
      <c r="I159" s="17">
        <f t="shared" si="8"/>
        <v>968.69699999999989</v>
      </c>
      <c r="J159" s="19">
        <f t="shared" si="9"/>
        <v>0.16201350886809818</v>
      </c>
      <c r="K159" s="20">
        <f t="shared" ca="1" si="10"/>
        <v>46140.516403240741</v>
      </c>
      <c r="L159" s="15" t="str">
        <f t="shared" si="11"/>
        <v>Jan-25</v>
      </c>
    </row>
    <row r="160" spans="1:12" ht="15.75" customHeight="1" x14ac:dyDescent="0.35">
      <c r="A160" s="21" t="s">
        <v>45</v>
      </c>
      <c r="B160" s="21" t="s">
        <v>32</v>
      </c>
      <c r="C160" s="21" t="s">
        <v>35</v>
      </c>
      <c r="D160" s="17" t="s">
        <v>40</v>
      </c>
      <c r="E160" s="17">
        <v>1250.71</v>
      </c>
      <c r="F160" s="17">
        <v>7</v>
      </c>
      <c r="G160" s="17">
        <v>0</v>
      </c>
      <c r="H160" s="18">
        <v>45674</v>
      </c>
      <c r="I160" s="17">
        <f t="shared" si="8"/>
        <v>1250.71</v>
      </c>
      <c r="J160" s="19">
        <f t="shared" si="9"/>
        <v>-0.10583588521719672</v>
      </c>
      <c r="K160" s="20">
        <f t="shared" ca="1" si="10"/>
        <v>46140.516403240741</v>
      </c>
      <c r="L160" s="15" t="str">
        <f t="shared" si="11"/>
        <v>Jan-25</v>
      </c>
    </row>
    <row r="161" spans="1:12" ht="15.75" customHeight="1" x14ac:dyDescent="0.35">
      <c r="A161" s="21" t="s">
        <v>41</v>
      </c>
      <c r="B161" s="21" t="s">
        <v>18</v>
      </c>
      <c r="C161" s="21" t="s">
        <v>21</v>
      </c>
      <c r="D161" s="17" t="s">
        <v>16</v>
      </c>
      <c r="E161" s="17">
        <v>1118.3399999999999</v>
      </c>
      <c r="F161" s="17">
        <v>6</v>
      </c>
      <c r="G161" s="17">
        <v>0.2</v>
      </c>
      <c r="H161" s="18">
        <v>45674</v>
      </c>
      <c r="I161" s="17">
        <f t="shared" si="8"/>
        <v>894.67199999999991</v>
      </c>
      <c r="J161" s="19">
        <f t="shared" si="9"/>
        <v>0.45091832537510956</v>
      </c>
      <c r="K161" s="20">
        <f t="shared" ca="1" si="10"/>
        <v>46140.516403240741</v>
      </c>
      <c r="L161" s="15" t="str">
        <f t="shared" si="11"/>
        <v>Jan-25</v>
      </c>
    </row>
    <row r="162" spans="1:12" ht="15.75" customHeight="1" x14ac:dyDescent="0.35">
      <c r="A162" s="21" t="s">
        <v>71</v>
      </c>
      <c r="B162" s="21" t="s">
        <v>54</v>
      </c>
      <c r="C162" s="21" t="s">
        <v>25</v>
      </c>
      <c r="D162" s="17" t="s">
        <v>16</v>
      </c>
      <c r="E162" s="17">
        <v>1622.62</v>
      </c>
      <c r="F162" s="17">
        <v>12</v>
      </c>
      <c r="G162" s="17">
        <v>0.2</v>
      </c>
      <c r="H162" s="18">
        <v>45677</v>
      </c>
      <c r="I162" s="17">
        <f t="shared" si="8"/>
        <v>1298.096</v>
      </c>
      <c r="J162" s="19">
        <f t="shared" si="9"/>
        <v>-0.60518174310682726</v>
      </c>
      <c r="K162" s="20">
        <f t="shared" ca="1" si="10"/>
        <v>46140.516403240741</v>
      </c>
      <c r="L162" s="15" t="str">
        <f t="shared" si="11"/>
        <v>Jan-25</v>
      </c>
    </row>
    <row r="163" spans="1:12" ht="15.75" customHeight="1" x14ac:dyDescent="0.35">
      <c r="A163" s="21" t="s">
        <v>76</v>
      </c>
      <c r="B163" s="21" t="s">
        <v>49</v>
      </c>
      <c r="C163" s="21" t="s">
        <v>25</v>
      </c>
      <c r="D163" s="17" t="s">
        <v>13</v>
      </c>
      <c r="E163" s="17">
        <v>640.64</v>
      </c>
      <c r="F163" s="17">
        <v>11</v>
      </c>
      <c r="G163" s="17">
        <v>0.2</v>
      </c>
      <c r="H163" s="18">
        <v>45678</v>
      </c>
      <c r="I163" s="17">
        <f t="shared" si="8"/>
        <v>512.51199999999994</v>
      </c>
      <c r="J163" s="19">
        <f t="shared" si="9"/>
        <v>-8.6600899100899131E-2</v>
      </c>
      <c r="K163" s="20">
        <f t="shared" ca="1" si="10"/>
        <v>46140.516403240741</v>
      </c>
      <c r="L163" s="15" t="str">
        <f t="shared" si="11"/>
        <v>Jan-25</v>
      </c>
    </row>
    <row r="164" spans="1:12" ht="15.75" customHeight="1" x14ac:dyDescent="0.35">
      <c r="A164" s="21" t="s">
        <v>23</v>
      </c>
      <c r="B164" s="21" t="s">
        <v>44</v>
      </c>
      <c r="C164" s="21" t="s">
        <v>12</v>
      </c>
      <c r="D164" s="17" t="s">
        <v>16</v>
      </c>
      <c r="E164" s="17">
        <v>585.16</v>
      </c>
      <c r="F164" s="17">
        <v>17</v>
      </c>
      <c r="G164" s="17">
        <v>0.1</v>
      </c>
      <c r="H164" s="18">
        <v>45684</v>
      </c>
      <c r="I164" s="17">
        <f t="shared" si="8"/>
        <v>526.64400000000001</v>
      </c>
      <c r="J164" s="19">
        <f t="shared" si="9"/>
        <v>0.8968829038211773</v>
      </c>
      <c r="K164" s="20">
        <f t="shared" ca="1" si="10"/>
        <v>46140.516403240741</v>
      </c>
      <c r="L164" s="15" t="str">
        <f t="shared" si="11"/>
        <v>Jan-25</v>
      </c>
    </row>
    <row r="165" spans="1:12" ht="15.75" customHeight="1" x14ac:dyDescent="0.35">
      <c r="A165" s="21" t="s">
        <v>23</v>
      </c>
      <c r="B165" s="21" t="s">
        <v>32</v>
      </c>
      <c r="C165" s="21" t="s">
        <v>19</v>
      </c>
      <c r="D165" s="17" t="s">
        <v>16</v>
      </c>
      <c r="E165" s="17">
        <v>1109.98</v>
      </c>
      <c r="F165" s="17">
        <v>5</v>
      </c>
      <c r="G165" s="17">
        <v>0.2</v>
      </c>
      <c r="H165" s="18">
        <v>45690</v>
      </c>
      <c r="I165" s="17">
        <f t="shared" si="8"/>
        <v>887.98400000000004</v>
      </c>
      <c r="J165" s="19">
        <f t="shared" si="9"/>
        <v>-1.0720913890340448E-2</v>
      </c>
      <c r="K165" s="20">
        <f t="shared" ca="1" si="10"/>
        <v>46140.516403240741</v>
      </c>
      <c r="L165" s="15" t="str">
        <f t="shared" si="11"/>
        <v>Feb-25</v>
      </c>
    </row>
    <row r="166" spans="1:12" ht="15.75" customHeight="1" x14ac:dyDescent="0.35">
      <c r="A166" s="21" t="s">
        <v>59</v>
      </c>
      <c r="B166" s="21" t="s">
        <v>46</v>
      </c>
      <c r="C166" s="21" t="s">
        <v>19</v>
      </c>
      <c r="D166" s="17" t="s">
        <v>13</v>
      </c>
      <c r="E166" s="17">
        <v>1098.08</v>
      </c>
      <c r="F166" s="17">
        <v>9</v>
      </c>
      <c r="G166" s="17">
        <v>0.1</v>
      </c>
      <c r="H166" s="18">
        <v>45692</v>
      </c>
      <c r="I166" s="17">
        <f t="shared" si="8"/>
        <v>988.27199999999993</v>
      </c>
      <c r="J166" s="19">
        <f t="shared" si="9"/>
        <v>-0.24663958910097619</v>
      </c>
      <c r="K166" s="20">
        <f t="shared" ca="1" si="10"/>
        <v>46140.516403240741</v>
      </c>
      <c r="L166" s="15" t="str">
        <f t="shared" si="11"/>
        <v>Feb-25</v>
      </c>
    </row>
    <row r="167" spans="1:12" ht="15.75" customHeight="1" x14ac:dyDescent="0.35">
      <c r="A167" s="21" t="s">
        <v>66</v>
      </c>
      <c r="B167" s="21" t="s">
        <v>49</v>
      </c>
      <c r="C167" s="21" t="s">
        <v>12</v>
      </c>
      <c r="D167" s="17" t="s">
        <v>40</v>
      </c>
      <c r="E167" s="17">
        <v>827.25</v>
      </c>
      <c r="F167" s="17">
        <v>7</v>
      </c>
      <c r="G167" s="17">
        <v>0.1</v>
      </c>
      <c r="H167" s="18">
        <v>45693</v>
      </c>
      <c r="I167" s="17">
        <f t="shared" si="8"/>
        <v>744.52499999999998</v>
      </c>
      <c r="J167" s="19">
        <f t="shared" si="9"/>
        <v>-0.10319734058627984</v>
      </c>
      <c r="K167" s="20">
        <f t="shared" ca="1" si="10"/>
        <v>46140.516403240741</v>
      </c>
      <c r="L167" s="15" t="str">
        <f t="shared" si="11"/>
        <v>Feb-25</v>
      </c>
    </row>
    <row r="168" spans="1:12" ht="15.75" customHeight="1" x14ac:dyDescent="0.35">
      <c r="A168" s="21" t="s">
        <v>71</v>
      </c>
      <c r="B168" s="21" t="s">
        <v>30</v>
      </c>
      <c r="C168" s="21" t="s">
        <v>35</v>
      </c>
      <c r="D168" s="17" t="s">
        <v>16</v>
      </c>
      <c r="E168" s="17">
        <v>741.88</v>
      </c>
      <c r="F168" s="17">
        <v>16</v>
      </c>
      <c r="G168" s="17">
        <v>0.1</v>
      </c>
      <c r="H168" s="18">
        <v>45695</v>
      </c>
      <c r="I168" s="17">
        <f t="shared" si="8"/>
        <v>667.69200000000001</v>
      </c>
      <c r="J168" s="19">
        <f t="shared" si="9"/>
        <v>0.76748261174313903</v>
      </c>
      <c r="K168" s="20">
        <f t="shared" ca="1" si="10"/>
        <v>46140.516403240741</v>
      </c>
      <c r="L168" s="15" t="str">
        <f t="shared" si="11"/>
        <v>Feb-25</v>
      </c>
    </row>
    <row r="169" spans="1:12" ht="15.75" customHeight="1" x14ac:dyDescent="0.35">
      <c r="A169" s="21" t="s">
        <v>73</v>
      </c>
      <c r="B169" s="21" t="s">
        <v>11</v>
      </c>
      <c r="C169" s="21" t="s">
        <v>19</v>
      </c>
      <c r="D169" s="17" t="s">
        <v>40</v>
      </c>
      <c r="E169" s="17">
        <v>1311.26</v>
      </c>
      <c r="F169" s="17">
        <v>6</v>
      </c>
      <c r="G169" s="17">
        <v>0.1</v>
      </c>
      <c r="H169" s="18">
        <v>45698</v>
      </c>
      <c r="I169" s="17">
        <f t="shared" si="8"/>
        <v>1180.134</v>
      </c>
      <c r="J169" s="19">
        <f t="shared" si="9"/>
        <v>-0.56277168524930221</v>
      </c>
      <c r="K169" s="20">
        <f t="shared" ca="1" si="10"/>
        <v>46140.516403240741</v>
      </c>
      <c r="L169" s="15" t="str">
        <f t="shared" si="11"/>
        <v>Feb-25</v>
      </c>
    </row>
    <row r="170" spans="1:12" ht="15.75" customHeight="1" x14ac:dyDescent="0.35">
      <c r="A170" s="21" t="s">
        <v>73</v>
      </c>
      <c r="B170" s="21" t="s">
        <v>32</v>
      </c>
      <c r="C170" s="21" t="s">
        <v>21</v>
      </c>
      <c r="D170" s="17" t="s">
        <v>40</v>
      </c>
      <c r="E170" s="17">
        <v>573.32000000000005</v>
      </c>
      <c r="F170" s="17">
        <v>19</v>
      </c>
      <c r="G170" s="17">
        <v>0.1</v>
      </c>
      <c r="H170" s="18">
        <v>45703</v>
      </c>
      <c r="I170" s="17">
        <f t="shared" si="8"/>
        <v>515.98800000000006</v>
      </c>
      <c r="J170" s="19">
        <f t="shared" si="9"/>
        <v>0.94519639991627702</v>
      </c>
      <c r="K170" s="20">
        <f t="shared" ca="1" si="10"/>
        <v>46140.516403240741</v>
      </c>
      <c r="L170" s="15" t="str">
        <f t="shared" si="11"/>
        <v>Feb-25</v>
      </c>
    </row>
    <row r="171" spans="1:12" ht="15.75" customHeight="1" x14ac:dyDescent="0.35">
      <c r="A171" s="21" t="s">
        <v>53</v>
      </c>
      <c r="B171" s="21" t="s">
        <v>24</v>
      </c>
      <c r="C171" s="21" t="s">
        <v>12</v>
      </c>
      <c r="D171" s="17" t="s">
        <v>22</v>
      </c>
      <c r="E171" s="17">
        <v>1115.22</v>
      </c>
      <c r="F171" s="17">
        <v>14</v>
      </c>
      <c r="G171" s="17">
        <v>0.2</v>
      </c>
      <c r="H171" s="18">
        <v>45705</v>
      </c>
      <c r="I171" s="17">
        <f t="shared" si="8"/>
        <v>892.17600000000004</v>
      </c>
      <c r="J171" s="19">
        <f t="shared" si="9"/>
        <v>-0.24154875271246928</v>
      </c>
      <c r="K171" s="20">
        <f t="shared" ca="1" si="10"/>
        <v>46140.516403240741</v>
      </c>
      <c r="L171" s="15" t="str">
        <f t="shared" si="11"/>
        <v>Feb-25</v>
      </c>
    </row>
    <row r="172" spans="1:12" ht="15.75" customHeight="1" x14ac:dyDescent="0.35">
      <c r="A172" s="21" t="s">
        <v>14</v>
      </c>
      <c r="B172" s="21" t="s">
        <v>46</v>
      </c>
      <c r="C172" s="21" t="s">
        <v>25</v>
      </c>
      <c r="D172" s="17" t="s">
        <v>16</v>
      </c>
      <c r="E172" s="17">
        <v>845.84</v>
      </c>
      <c r="F172" s="17">
        <v>4</v>
      </c>
      <c r="G172" s="17">
        <v>0</v>
      </c>
      <c r="H172" s="18">
        <v>45707</v>
      </c>
      <c r="I172" s="17">
        <f t="shared" si="8"/>
        <v>845.84</v>
      </c>
      <c r="J172" s="19">
        <f t="shared" si="9"/>
        <v>0.21748794098174587</v>
      </c>
      <c r="K172" s="20">
        <f t="shared" ca="1" si="10"/>
        <v>46140.516403240741</v>
      </c>
      <c r="L172" s="15" t="str">
        <f t="shared" si="11"/>
        <v>Feb-25</v>
      </c>
    </row>
    <row r="173" spans="1:12" ht="15.75" customHeight="1" x14ac:dyDescent="0.35">
      <c r="A173" s="21" t="s">
        <v>31</v>
      </c>
      <c r="B173" s="21" t="s">
        <v>56</v>
      </c>
      <c r="C173" s="21" t="s">
        <v>12</v>
      </c>
      <c r="D173" s="17" t="s">
        <v>22</v>
      </c>
      <c r="E173" s="17">
        <v>1029.8</v>
      </c>
      <c r="F173" s="17">
        <v>3</v>
      </c>
      <c r="G173" s="17">
        <v>0</v>
      </c>
      <c r="H173" s="18">
        <v>45708</v>
      </c>
      <c r="I173" s="17">
        <f t="shared" si="8"/>
        <v>1029.8</v>
      </c>
      <c r="J173" s="19">
        <f t="shared" si="9"/>
        <v>0.15539910662264517</v>
      </c>
      <c r="K173" s="20">
        <f t="shared" ca="1" si="10"/>
        <v>46140.516403240741</v>
      </c>
      <c r="L173" s="15" t="str">
        <f t="shared" si="11"/>
        <v>Feb-25</v>
      </c>
    </row>
    <row r="174" spans="1:12" ht="15.75" customHeight="1" x14ac:dyDescent="0.35">
      <c r="A174" s="21" t="s">
        <v>33</v>
      </c>
      <c r="B174" s="21" t="s">
        <v>32</v>
      </c>
      <c r="C174" s="21" t="s">
        <v>25</v>
      </c>
      <c r="D174" s="17" t="s">
        <v>13</v>
      </c>
      <c r="E174" s="17">
        <v>1189.83</v>
      </c>
      <c r="F174" s="17">
        <v>2</v>
      </c>
      <c r="G174" s="17">
        <v>0.2</v>
      </c>
      <c r="H174" s="18">
        <v>45709</v>
      </c>
      <c r="I174" s="17">
        <f t="shared" si="8"/>
        <v>951.86399999999992</v>
      </c>
      <c r="J174" s="19">
        <f t="shared" si="9"/>
        <v>-0.40808350772799473</v>
      </c>
      <c r="K174" s="20">
        <f t="shared" ca="1" si="10"/>
        <v>46140.516403240741</v>
      </c>
      <c r="L174" s="15" t="str">
        <f t="shared" si="11"/>
        <v>Feb-25</v>
      </c>
    </row>
    <row r="175" spans="1:12" ht="15.75" customHeight="1" x14ac:dyDescent="0.35">
      <c r="A175" s="21" t="s">
        <v>68</v>
      </c>
      <c r="B175" s="21" t="s">
        <v>44</v>
      </c>
      <c r="C175" s="21" t="s">
        <v>21</v>
      </c>
      <c r="D175" s="17" t="s">
        <v>13</v>
      </c>
      <c r="E175" s="17">
        <v>704.28</v>
      </c>
      <c r="F175" s="17">
        <v>15</v>
      </c>
      <c r="G175" s="17">
        <v>0.2</v>
      </c>
      <c r="H175" s="18">
        <v>45712</v>
      </c>
      <c r="I175" s="17">
        <f t="shared" si="8"/>
        <v>563.42399999999998</v>
      </c>
      <c r="J175" s="19">
        <f t="shared" si="9"/>
        <v>1.2976940989379226</v>
      </c>
      <c r="K175" s="20">
        <f t="shared" ca="1" si="10"/>
        <v>46140.516403240741</v>
      </c>
      <c r="L175" s="15" t="str">
        <f t="shared" si="11"/>
        <v>Feb-25</v>
      </c>
    </row>
    <row r="176" spans="1:12" ht="15.75" customHeight="1" x14ac:dyDescent="0.35">
      <c r="A176" s="21" t="s">
        <v>66</v>
      </c>
      <c r="B176" s="21" t="s">
        <v>48</v>
      </c>
      <c r="C176" s="21" t="s">
        <v>35</v>
      </c>
      <c r="D176" s="17" t="s">
        <v>40</v>
      </c>
      <c r="E176" s="17">
        <v>1618.22</v>
      </c>
      <c r="F176" s="17">
        <v>12</v>
      </c>
      <c r="G176" s="17">
        <v>0.2</v>
      </c>
      <c r="H176" s="18">
        <v>45712</v>
      </c>
      <c r="I176" s="17">
        <f t="shared" si="8"/>
        <v>1294.576</v>
      </c>
      <c r="J176" s="19">
        <f t="shared" si="9"/>
        <v>-0.37311984773392992</v>
      </c>
      <c r="K176" s="20">
        <f t="shared" ca="1" si="10"/>
        <v>46140.516403240741</v>
      </c>
      <c r="L176" s="15" t="str">
        <f t="shared" si="11"/>
        <v>Feb-25</v>
      </c>
    </row>
    <row r="177" spans="1:12" ht="15.75" customHeight="1" x14ac:dyDescent="0.35">
      <c r="A177" s="21" t="s">
        <v>74</v>
      </c>
      <c r="B177" s="21" t="s">
        <v>54</v>
      </c>
      <c r="C177" s="21" t="s">
        <v>35</v>
      </c>
      <c r="D177" s="17" t="s">
        <v>13</v>
      </c>
      <c r="E177" s="17">
        <v>1014.43</v>
      </c>
      <c r="F177" s="17">
        <v>2</v>
      </c>
      <c r="G177" s="17">
        <v>0.15</v>
      </c>
      <c r="H177" s="18">
        <v>45713</v>
      </c>
      <c r="I177" s="17">
        <f t="shared" si="8"/>
        <v>862.26549999999997</v>
      </c>
      <c r="J177" s="19">
        <f t="shared" si="9"/>
        <v>-0.1847934307936476</v>
      </c>
      <c r="K177" s="20">
        <f t="shared" ca="1" si="10"/>
        <v>46140.516403240741</v>
      </c>
      <c r="L177" s="15" t="str">
        <f t="shared" si="11"/>
        <v>Feb-25</v>
      </c>
    </row>
    <row r="178" spans="1:12" ht="15.75" customHeight="1" x14ac:dyDescent="0.35">
      <c r="A178" s="21" t="s">
        <v>76</v>
      </c>
      <c r="B178" s="21" t="s">
        <v>32</v>
      </c>
      <c r="C178" s="21" t="s">
        <v>35</v>
      </c>
      <c r="D178" s="17" t="s">
        <v>16</v>
      </c>
      <c r="E178" s="17">
        <v>826.97</v>
      </c>
      <c r="F178" s="17">
        <v>18</v>
      </c>
      <c r="G178" s="17">
        <v>0.2</v>
      </c>
      <c r="H178" s="18">
        <v>45715</v>
      </c>
      <c r="I178" s="17">
        <f t="shared" si="8"/>
        <v>661.57600000000002</v>
      </c>
      <c r="J178" s="19">
        <f t="shared" si="9"/>
        <v>0.23611497394101355</v>
      </c>
      <c r="K178" s="20">
        <f t="shared" ca="1" si="10"/>
        <v>46140.516403240741</v>
      </c>
      <c r="L178" s="15" t="str">
        <f t="shared" si="11"/>
        <v>Feb-25</v>
      </c>
    </row>
    <row r="179" spans="1:12" ht="15.75" customHeight="1" x14ac:dyDescent="0.35">
      <c r="A179" s="21" t="s">
        <v>17</v>
      </c>
      <c r="B179" s="21" t="s">
        <v>32</v>
      </c>
      <c r="C179" s="21" t="s">
        <v>35</v>
      </c>
      <c r="D179" s="17" t="s">
        <v>16</v>
      </c>
      <c r="E179" s="17">
        <v>1022.23</v>
      </c>
      <c r="F179" s="17">
        <v>8</v>
      </c>
      <c r="G179" s="17">
        <v>0.1</v>
      </c>
      <c r="H179" s="18">
        <v>45717</v>
      </c>
      <c r="I179" s="17">
        <f t="shared" si="8"/>
        <v>920.00700000000006</v>
      </c>
      <c r="J179" s="19">
        <f t="shared" si="9"/>
        <v>7.5775510403725224E-2</v>
      </c>
      <c r="K179" s="20">
        <f t="shared" ca="1" si="10"/>
        <v>46140.516403240741</v>
      </c>
      <c r="L179" s="15" t="str">
        <f t="shared" si="11"/>
        <v>Mar-25</v>
      </c>
    </row>
    <row r="180" spans="1:12" ht="15.75" customHeight="1" x14ac:dyDescent="0.35">
      <c r="A180" s="21" t="s">
        <v>73</v>
      </c>
      <c r="B180" s="21" t="s">
        <v>30</v>
      </c>
      <c r="C180" s="21" t="s">
        <v>19</v>
      </c>
      <c r="D180" s="17" t="s">
        <v>13</v>
      </c>
      <c r="E180" s="17">
        <v>1099.69</v>
      </c>
      <c r="F180" s="17">
        <v>6</v>
      </c>
      <c r="G180" s="17">
        <v>0</v>
      </c>
      <c r="H180" s="18">
        <v>45718</v>
      </c>
      <c r="I180" s="17">
        <f t="shared" si="8"/>
        <v>1099.69</v>
      </c>
      <c r="J180" s="19">
        <f t="shared" si="9"/>
        <v>-0.35389064190817415</v>
      </c>
      <c r="K180" s="20">
        <f t="shared" ca="1" si="10"/>
        <v>46140.516403240741</v>
      </c>
      <c r="L180" s="15" t="str">
        <f t="shared" si="11"/>
        <v>Mar-25</v>
      </c>
    </row>
    <row r="181" spans="1:12" ht="15.75" customHeight="1" x14ac:dyDescent="0.35">
      <c r="A181" s="21" t="s">
        <v>53</v>
      </c>
      <c r="B181" s="21" t="s">
        <v>65</v>
      </c>
      <c r="C181" s="21" t="s">
        <v>25</v>
      </c>
      <c r="D181" s="17" t="s">
        <v>13</v>
      </c>
      <c r="E181" s="17">
        <v>710.52</v>
      </c>
      <c r="F181" s="17">
        <v>8</v>
      </c>
      <c r="G181" s="17">
        <v>0.1</v>
      </c>
      <c r="H181" s="18">
        <v>45721</v>
      </c>
      <c r="I181" s="17">
        <f t="shared" si="8"/>
        <v>639.46799999999996</v>
      </c>
      <c r="J181" s="19">
        <f t="shared" si="9"/>
        <v>-0.29744412542926307</v>
      </c>
      <c r="K181" s="20">
        <f t="shared" ca="1" si="10"/>
        <v>46140.516403240741</v>
      </c>
      <c r="L181" s="15" t="str">
        <f t="shared" si="11"/>
        <v>Mar-25</v>
      </c>
    </row>
    <row r="182" spans="1:12" ht="15.75" customHeight="1" x14ac:dyDescent="0.35">
      <c r="A182" s="21" t="s">
        <v>53</v>
      </c>
      <c r="B182" s="21" t="s">
        <v>60</v>
      </c>
      <c r="C182" s="21" t="s">
        <v>25</v>
      </c>
      <c r="D182" s="17" t="s">
        <v>13</v>
      </c>
      <c r="E182" s="17">
        <v>499.18</v>
      </c>
      <c r="F182" s="17">
        <v>15</v>
      </c>
      <c r="G182" s="17">
        <v>0.2</v>
      </c>
      <c r="H182" s="18">
        <v>45724</v>
      </c>
      <c r="I182" s="17">
        <f t="shared" si="8"/>
        <v>399.34399999999999</v>
      </c>
      <c r="J182" s="19">
        <f t="shared" si="9"/>
        <v>1.1318762770944348</v>
      </c>
      <c r="K182" s="20">
        <f t="shared" ca="1" si="10"/>
        <v>46140.516403240741</v>
      </c>
      <c r="L182" s="15" t="str">
        <f t="shared" si="11"/>
        <v>Mar-25</v>
      </c>
    </row>
    <row r="183" spans="1:12" ht="15.75" customHeight="1" x14ac:dyDescent="0.35">
      <c r="A183" s="21" t="s">
        <v>38</v>
      </c>
      <c r="B183" s="21" t="s">
        <v>39</v>
      </c>
      <c r="C183" s="21" t="s">
        <v>21</v>
      </c>
      <c r="D183" s="17" t="s">
        <v>13</v>
      </c>
      <c r="E183" s="17">
        <v>1064.19</v>
      </c>
      <c r="F183" s="17">
        <v>18</v>
      </c>
      <c r="G183" s="17">
        <v>0.05</v>
      </c>
      <c r="H183" s="18">
        <v>45725</v>
      </c>
      <c r="I183" s="17">
        <f t="shared" si="8"/>
        <v>1010.9805</v>
      </c>
      <c r="J183" s="19">
        <f t="shared" si="9"/>
        <v>-0.58770520301825802</v>
      </c>
      <c r="K183" s="20">
        <f t="shared" ca="1" si="10"/>
        <v>46140.516403240741</v>
      </c>
      <c r="L183" s="15" t="str">
        <f t="shared" si="11"/>
        <v>Mar-25</v>
      </c>
    </row>
    <row r="184" spans="1:12" ht="15.75" customHeight="1" x14ac:dyDescent="0.35">
      <c r="A184" s="21" t="s">
        <v>68</v>
      </c>
      <c r="B184" s="21" t="s">
        <v>39</v>
      </c>
      <c r="C184" s="21" t="s">
        <v>19</v>
      </c>
      <c r="D184" s="17" t="s">
        <v>40</v>
      </c>
      <c r="E184" s="17">
        <v>438.76</v>
      </c>
      <c r="F184" s="17">
        <v>18</v>
      </c>
      <c r="G184" s="17">
        <v>0.05</v>
      </c>
      <c r="H184" s="18">
        <v>45726</v>
      </c>
      <c r="I184" s="17">
        <f t="shared" si="8"/>
        <v>416.822</v>
      </c>
      <c r="J184" s="19">
        <f t="shared" si="9"/>
        <v>0.97141945482724046</v>
      </c>
      <c r="K184" s="20">
        <f t="shared" ca="1" si="10"/>
        <v>46140.516403240741</v>
      </c>
      <c r="L184" s="15" t="str">
        <f t="shared" si="11"/>
        <v>Mar-25</v>
      </c>
    </row>
    <row r="185" spans="1:12" ht="15.75" customHeight="1" x14ac:dyDescent="0.35">
      <c r="A185" s="21" t="s">
        <v>42</v>
      </c>
      <c r="B185" s="21" t="s">
        <v>56</v>
      </c>
      <c r="C185" s="21" t="s">
        <v>12</v>
      </c>
      <c r="D185" s="17" t="s">
        <v>16</v>
      </c>
      <c r="E185" s="17">
        <v>864.98</v>
      </c>
      <c r="F185" s="17">
        <v>2</v>
      </c>
      <c r="G185" s="17">
        <v>0.05</v>
      </c>
      <c r="H185" s="18">
        <v>45727</v>
      </c>
      <c r="I185" s="17">
        <f t="shared" si="8"/>
        <v>821.73099999999999</v>
      </c>
      <c r="J185" s="19">
        <f t="shared" si="9"/>
        <v>0.13867372656015159</v>
      </c>
      <c r="K185" s="20">
        <f t="shared" ca="1" si="10"/>
        <v>46140.516403240741</v>
      </c>
      <c r="L185" s="15" t="str">
        <f t="shared" si="11"/>
        <v>Mar-25</v>
      </c>
    </row>
    <row r="186" spans="1:12" ht="15.75" customHeight="1" x14ac:dyDescent="0.35">
      <c r="A186" s="21" t="s">
        <v>58</v>
      </c>
      <c r="B186" s="21" t="s">
        <v>56</v>
      </c>
      <c r="C186" s="21" t="s">
        <v>12</v>
      </c>
      <c r="D186" s="17" t="s">
        <v>28</v>
      </c>
      <c r="E186" s="17">
        <v>984.93</v>
      </c>
      <c r="F186" s="17">
        <v>14</v>
      </c>
      <c r="G186" s="17">
        <v>0.2</v>
      </c>
      <c r="H186" s="18">
        <v>45733</v>
      </c>
      <c r="I186" s="17">
        <f t="shared" si="8"/>
        <v>787.94399999999996</v>
      </c>
      <c r="J186" s="19">
        <f t="shared" si="9"/>
        <v>0.51634126283086113</v>
      </c>
      <c r="K186" s="20">
        <f t="shared" ca="1" si="10"/>
        <v>46140.516403240741</v>
      </c>
      <c r="L186" s="15" t="str">
        <f t="shared" si="11"/>
        <v>Mar-25</v>
      </c>
    </row>
    <row r="187" spans="1:12" ht="15.75" customHeight="1" x14ac:dyDescent="0.35">
      <c r="A187" s="21" t="s">
        <v>26</v>
      </c>
      <c r="B187" s="21" t="s">
        <v>56</v>
      </c>
      <c r="C187" s="21" t="s">
        <v>12</v>
      </c>
      <c r="D187" s="17" t="s">
        <v>16</v>
      </c>
      <c r="E187" s="17">
        <v>1493.49</v>
      </c>
      <c r="F187" s="17">
        <v>18</v>
      </c>
      <c r="G187" s="17">
        <v>0</v>
      </c>
      <c r="H187" s="18">
        <v>45734</v>
      </c>
      <c r="I187" s="17">
        <f t="shared" si="8"/>
        <v>1493.49</v>
      </c>
      <c r="J187" s="19">
        <f t="shared" si="9"/>
        <v>-0.53837655424542519</v>
      </c>
      <c r="K187" s="20">
        <f t="shared" ca="1" si="10"/>
        <v>46140.516403240741</v>
      </c>
      <c r="L187" s="15" t="str">
        <f t="shared" si="11"/>
        <v>Mar-25</v>
      </c>
    </row>
    <row r="188" spans="1:12" ht="15.75" customHeight="1" x14ac:dyDescent="0.35">
      <c r="A188" s="21" t="s">
        <v>33</v>
      </c>
      <c r="B188" s="21" t="s">
        <v>54</v>
      </c>
      <c r="C188" s="21" t="s">
        <v>21</v>
      </c>
      <c r="D188" s="17" t="s">
        <v>16</v>
      </c>
      <c r="E188" s="17">
        <v>689.43</v>
      </c>
      <c r="F188" s="17">
        <v>9</v>
      </c>
      <c r="G188" s="17">
        <v>0.1</v>
      </c>
      <c r="H188" s="18">
        <v>45736</v>
      </c>
      <c r="I188" s="17">
        <f t="shared" si="8"/>
        <v>620.48699999999997</v>
      </c>
      <c r="J188" s="19">
        <f t="shared" si="9"/>
        <v>-1.0428905037494657E-2</v>
      </c>
      <c r="K188" s="20">
        <f t="shared" ca="1" si="10"/>
        <v>46140.516403240741</v>
      </c>
      <c r="L188" s="15" t="str">
        <f t="shared" si="11"/>
        <v>Mar-25</v>
      </c>
    </row>
    <row r="189" spans="1:12" ht="15.75" customHeight="1" x14ac:dyDescent="0.35">
      <c r="A189" s="21" t="s">
        <v>41</v>
      </c>
      <c r="B189" s="21" t="s">
        <v>60</v>
      </c>
      <c r="C189" s="21" t="s">
        <v>21</v>
      </c>
      <c r="D189" s="17" t="s">
        <v>16</v>
      </c>
      <c r="E189" s="17">
        <v>682.24</v>
      </c>
      <c r="F189" s="17">
        <v>1</v>
      </c>
      <c r="G189" s="17">
        <v>0</v>
      </c>
      <c r="H189" s="18">
        <v>45738</v>
      </c>
      <c r="I189" s="17">
        <f t="shared" si="8"/>
        <v>682.24</v>
      </c>
      <c r="J189" s="19">
        <f t="shared" si="9"/>
        <v>-0.32789047842401498</v>
      </c>
      <c r="K189" s="20">
        <f t="shared" ca="1" si="10"/>
        <v>46140.516403240741</v>
      </c>
      <c r="L189" s="15" t="str">
        <f t="shared" si="11"/>
        <v>Mar-25</v>
      </c>
    </row>
    <row r="190" spans="1:12" ht="15.75" customHeight="1" x14ac:dyDescent="0.35">
      <c r="A190" s="21" t="s">
        <v>42</v>
      </c>
      <c r="B190" s="21" t="s">
        <v>27</v>
      </c>
      <c r="C190" s="21" t="s">
        <v>25</v>
      </c>
      <c r="D190" s="17" t="s">
        <v>22</v>
      </c>
      <c r="E190" s="17">
        <v>458.54</v>
      </c>
      <c r="F190" s="17">
        <v>15</v>
      </c>
      <c r="G190" s="17">
        <v>0.2</v>
      </c>
      <c r="H190" s="18">
        <v>46838</v>
      </c>
      <c r="I190" s="17">
        <f t="shared" si="8"/>
        <v>366.83199999999999</v>
      </c>
      <c r="J190" s="19">
        <f t="shared" si="9"/>
        <v>1.5826536398133206</v>
      </c>
      <c r="K190" s="20">
        <f t="shared" ca="1" si="10"/>
        <v>46140.516403240741</v>
      </c>
      <c r="L190" s="15" t="str">
        <f t="shared" si="11"/>
        <v>Mar-28</v>
      </c>
    </row>
    <row r="191" spans="1:12" ht="15.75" customHeight="1" x14ac:dyDescent="0.35">
      <c r="A191" s="21" t="s">
        <v>33</v>
      </c>
      <c r="B191" s="21" t="s">
        <v>27</v>
      </c>
      <c r="C191" s="21" t="s">
        <v>21</v>
      </c>
      <c r="D191" s="17" t="s">
        <v>28</v>
      </c>
      <c r="E191" s="17">
        <v>1184.25</v>
      </c>
      <c r="F191" s="17">
        <v>11</v>
      </c>
      <c r="G191" s="17">
        <v>0.2</v>
      </c>
      <c r="H191" s="18">
        <v>45742</v>
      </c>
      <c r="I191" s="17">
        <f t="shared" si="8"/>
        <v>947.4</v>
      </c>
      <c r="J191" s="19">
        <f t="shared" si="9"/>
        <v>-0.35643656322567024</v>
      </c>
      <c r="K191" s="20">
        <f t="shared" ca="1" si="10"/>
        <v>46140.516403240741</v>
      </c>
      <c r="L191" s="15" t="str">
        <f t="shared" si="11"/>
        <v>Mar-25</v>
      </c>
    </row>
    <row r="192" spans="1:12" ht="15.75" customHeight="1" x14ac:dyDescent="0.35">
      <c r="A192" s="21" t="s">
        <v>26</v>
      </c>
      <c r="B192" s="21" t="s">
        <v>11</v>
      </c>
      <c r="C192" s="21" t="s">
        <v>21</v>
      </c>
      <c r="D192" s="17" t="s">
        <v>16</v>
      </c>
      <c r="E192" s="17">
        <v>762.14</v>
      </c>
      <c r="F192" s="17">
        <v>9</v>
      </c>
      <c r="G192" s="17">
        <v>0</v>
      </c>
      <c r="H192" s="18">
        <v>45743</v>
      </c>
      <c r="I192" s="17">
        <f t="shared" si="8"/>
        <v>762.14</v>
      </c>
      <c r="J192" s="19">
        <f t="shared" si="9"/>
        <v>-1.4997244600729459E-2</v>
      </c>
      <c r="K192" s="20">
        <f t="shared" ca="1" si="10"/>
        <v>46140.516403240741</v>
      </c>
      <c r="L192" s="15" t="str">
        <f t="shared" si="11"/>
        <v>Mar-25</v>
      </c>
    </row>
    <row r="193" spans="1:12" ht="15.75" customHeight="1" x14ac:dyDescent="0.35">
      <c r="A193" s="21" t="s">
        <v>23</v>
      </c>
      <c r="B193" s="21" t="s">
        <v>54</v>
      </c>
      <c r="C193" s="21" t="s">
        <v>25</v>
      </c>
      <c r="D193" s="17" t="s">
        <v>13</v>
      </c>
      <c r="E193" s="17">
        <v>750.71</v>
      </c>
      <c r="F193" s="17">
        <v>10</v>
      </c>
      <c r="G193" s="17">
        <v>0.15</v>
      </c>
      <c r="H193" s="18">
        <v>45743</v>
      </c>
      <c r="I193" s="17">
        <f t="shared" si="8"/>
        <v>638.10350000000005</v>
      </c>
      <c r="J193" s="19">
        <f t="shared" si="9"/>
        <v>0.94074942387872806</v>
      </c>
      <c r="K193" s="20">
        <f t="shared" ca="1" si="10"/>
        <v>46140.516403240741</v>
      </c>
      <c r="L193" s="15" t="str">
        <f t="shared" si="11"/>
        <v>Mar-25</v>
      </c>
    </row>
    <row r="194" spans="1:12" ht="15.75" customHeight="1" x14ac:dyDescent="0.35">
      <c r="A194" s="21" t="s">
        <v>76</v>
      </c>
      <c r="B194" s="21" t="s">
        <v>72</v>
      </c>
      <c r="C194" s="21" t="s">
        <v>35</v>
      </c>
      <c r="D194" s="17" t="s">
        <v>16</v>
      </c>
      <c r="E194" s="17">
        <v>1456.94</v>
      </c>
      <c r="F194" s="17">
        <v>14</v>
      </c>
      <c r="G194" s="17">
        <v>0.05</v>
      </c>
      <c r="H194" s="18">
        <v>45745</v>
      </c>
      <c r="I194" s="17">
        <f t="shared" si="8"/>
        <v>1384.0930000000001</v>
      </c>
      <c r="J194" s="19">
        <f t="shared" si="9"/>
        <v>-0.24953670020728372</v>
      </c>
      <c r="K194" s="20">
        <f t="shared" ca="1" si="10"/>
        <v>46140.516403240741</v>
      </c>
      <c r="L194" s="15" t="str">
        <f t="shared" si="11"/>
        <v>Mar-25</v>
      </c>
    </row>
    <row r="195" spans="1:12" ht="15.75" customHeight="1" x14ac:dyDescent="0.35">
      <c r="A195" s="21" t="s">
        <v>45</v>
      </c>
      <c r="B195" s="21" t="s">
        <v>62</v>
      </c>
      <c r="C195" s="21" t="s">
        <v>19</v>
      </c>
      <c r="D195" s="17" t="s">
        <v>28</v>
      </c>
      <c r="E195" s="17">
        <v>1093.3800000000001</v>
      </c>
      <c r="F195" s="17">
        <v>17</v>
      </c>
      <c r="G195" s="17">
        <v>0.1</v>
      </c>
      <c r="H195" s="18">
        <v>45745</v>
      </c>
      <c r="I195" s="17">
        <f t="shared" ref="I195:I201" si="12">E195 - (E195 * G195)</f>
        <v>984.04200000000014</v>
      </c>
      <c r="J195" s="19">
        <f t="shared" ref="J195:J201" si="13">(E196-E195)/E195</f>
        <v>-0.14552122775247409</v>
      </c>
      <c r="K195" s="20">
        <f t="shared" ref="K195:K201" ca="1" si="14">IF(A195&lt;&gt;"", IF(K195&gt;1, K195, NOW()), "")</f>
        <v>46140.516403240741</v>
      </c>
      <c r="L195" s="15" t="str">
        <f t="shared" ref="L195:L201" si="15">TEXT(H195, "MMM-YY")</f>
        <v>Mar-25</v>
      </c>
    </row>
    <row r="196" spans="1:12" ht="15.75" customHeight="1" x14ac:dyDescent="0.35">
      <c r="A196" s="21" t="s">
        <v>38</v>
      </c>
      <c r="B196" s="21" t="s">
        <v>44</v>
      </c>
      <c r="C196" s="21" t="s">
        <v>12</v>
      </c>
      <c r="D196" s="17" t="s">
        <v>16</v>
      </c>
      <c r="E196" s="17">
        <v>934.27</v>
      </c>
      <c r="F196" s="17">
        <v>8</v>
      </c>
      <c r="G196" s="17">
        <v>0.15</v>
      </c>
      <c r="H196" s="18">
        <v>45746</v>
      </c>
      <c r="I196" s="17">
        <f t="shared" si="12"/>
        <v>794.12950000000001</v>
      </c>
      <c r="J196" s="19">
        <f t="shared" si="13"/>
        <v>0.56844381174606906</v>
      </c>
      <c r="K196" s="20">
        <f t="shared" ca="1" si="14"/>
        <v>46140.516403240741</v>
      </c>
      <c r="L196" s="15" t="str">
        <f t="shared" si="15"/>
        <v>Mar-25</v>
      </c>
    </row>
    <row r="197" spans="1:12" ht="15.75" customHeight="1" x14ac:dyDescent="0.35">
      <c r="A197" s="21" t="s">
        <v>71</v>
      </c>
      <c r="B197" s="21" t="s">
        <v>37</v>
      </c>
      <c r="C197" s="21" t="s">
        <v>35</v>
      </c>
      <c r="D197" s="17" t="s">
        <v>16</v>
      </c>
      <c r="E197" s="17">
        <v>1465.35</v>
      </c>
      <c r="F197" s="17">
        <v>8</v>
      </c>
      <c r="G197" s="17">
        <v>0.2</v>
      </c>
      <c r="H197" s="18">
        <v>45746</v>
      </c>
      <c r="I197" s="17">
        <f t="shared" si="12"/>
        <v>1172.28</v>
      </c>
      <c r="J197" s="19">
        <f t="shared" si="13"/>
        <v>-0.49445524959907189</v>
      </c>
      <c r="K197" s="20">
        <f t="shared" ca="1" si="14"/>
        <v>46140.516403240741</v>
      </c>
      <c r="L197" s="15" t="str">
        <f t="shared" si="15"/>
        <v>Mar-25</v>
      </c>
    </row>
    <row r="198" spans="1:12" ht="15.75" customHeight="1" x14ac:dyDescent="0.35">
      <c r="A198" s="21" t="s">
        <v>53</v>
      </c>
      <c r="B198" s="21" t="s">
        <v>15</v>
      </c>
      <c r="C198" s="21" t="s">
        <v>21</v>
      </c>
      <c r="D198" s="17" t="s">
        <v>40</v>
      </c>
      <c r="E198" s="17">
        <v>740.8</v>
      </c>
      <c r="F198" s="17">
        <v>3</v>
      </c>
      <c r="G198" s="17">
        <v>0</v>
      </c>
      <c r="H198" s="18">
        <v>45749</v>
      </c>
      <c r="I198" s="17">
        <f t="shared" si="12"/>
        <v>740.8</v>
      </c>
      <c r="J198" s="19">
        <f t="shared" si="13"/>
        <v>-0.26371490280777526</v>
      </c>
      <c r="K198" s="20">
        <f t="shared" ca="1" si="14"/>
        <v>46140.516403240741</v>
      </c>
      <c r="L198" s="15" t="str">
        <f t="shared" si="15"/>
        <v>Apr-25</v>
      </c>
    </row>
    <row r="199" spans="1:12" ht="15.75" customHeight="1" x14ac:dyDescent="0.35">
      <c r="A199" s="21" t="s">
        <v>59</v>
      </c>
      <c r="B199" s="21" t="s">
        <v>44</v>
      </c>
      <c r="C199" s="21" t="s">
        <v>12</v>
      </c>
      <c r="D199" s="17" t="s">
        <v>40</v>
      </c>
      <c r="E199" s="17">
        <v>545.44000000000005</v>
      </c>
      <c r="F199" s="17">
        <v>17</v>
      </c>
      <c r="G199" s="17">
        <v>0</v>
      </c>
      <c r="H199" s="18">
        <v>45752</v>
      </c>
      <c r="I199" s="17">
        <f t="shared" si="12"/>
        <v>545.44000000000005</v>
      </c>
      <c r="J199" s="19">
        <f t="shared" si="13"/>
        <v>0.82900044001173345</v>
      </c>
      <c r="K199" s="20">
        <f t="shared" ca="1" si="14"/>
        <v>46140.516403240741</v>
      </c>
      <c r="L199" s="15" t="str">
        <f t="shared" si="15"/>
        <v>Apr-25</v>
      </c>
    </row>
    <row r="200" spans="1:12" ht="15.75" customHeight="1" x14ac:dyDescent="0.35">
      <c r="A200" s="21" t="s">
        <v>36</v>
      </c>
      <c r="B200" s="21" t="s">
        <v>37</v>
      </c>
      <c r="C200" s="21" t="s">
        <v>19</v>
      </c>
      <c r="D200" s="17" t="s">
        <v>13</v>
      </c>
      <c r="E200" s="17">
        <v>997.61</v>
      </c>
      <c r="F200" s="17">
        <v>8</v>
      </c>
      <c r="G200" s="17">
        <v>0.05</v>
      </c>
      <c r="H200" s="18">
        <v>45752</v>
      </c>
      <c r="I200" s="17">
        <f t="shared" si="12"/>
        <v>947.72950000000003</v>
      </c>
      <c r="J200" s="19">
        <f t="shared" si="13"/>
        <v>-6.9455999839616644E-2</v>
      </c>
      <c r="K200" s="20">
        <f t="shared" ca="1" si="14"/>
        <v>46140.516403240741</v>
      </c>
      <c r="L200" s="15" t="str">
        <f t="shared" si="15"/>
        <v>Apr-25</v>
      </c>
    </row>
    <row r="201" spans="1:12" ht="15.75" customHeight="1" x14ac:dyDescent="0.35">
      <c r="A201" s="21" t="s">
        <v>61</v>
      </c>
      <c r="B201" s="21" t="s">
        <v>37</v>
      </c>
      <c r="C201" s="21" t="s">
        <v>21</v>
      </c>
      <c r="D201" s="17" t="s">
        <v>16</v>
      </c>
      <c r="E201" s="17">
        <v>928.32</v>
      </c>
      <c r="F201" s="17">
        <v>2</v>
      </c>
      <c r="G201" s="17">
        <v>0.05</v>
      </c>
      <c r="H201" s="18">
        <v>45754</v>
      </c>
      <c r="I201" s="17">
        <f t="shared" si="12"/>
        <v>881.904</v>
      </c>
      <c r="J201" s="19">
        <f t="shared" si="13"/>
        <v>-1</v>
      </c>
      <c r="K201" s="20">
        <f t="shared" ca="1" si="14"/>
        <v>46140.516403240741</v>
      </c>
      <c r="L201" s="15" t="str">
        <f t="shared" si="15"/>
        <v>Apr-25</v>
      </c>
    </row>
    <row r="202" spans="1:12" ht="15.75" customHeight="1" x14ac:dyDescent="0.35"/>
    <row r="203" spans="1:12" ht="15.75" customHeight="1" x14ac:dyDescent="0.35"/>
    <row r="204" spans="1:12" ht="15.75" customHeight="1" x14ac:dyDescent="0.35"/>
    <row r="205" spans="1:12" ht="15.75" customHeight="1" x14ac:dyDescent="0.35"/>
    <row r="206" spans="1:12" ht="15.75" customHeight="1" x14ac:dyDescent="0.35"/>
    <row r="207" spans="1:12" ht="15.75" customHeight="1" x14ac:dyDescent="0.35"/>
    <row r="208" spans="1: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scenarios current="0" sqref="I2">
    <scenario name="Low Discount" locked="1" count="1" user="DELL" comment="Created by DELL on 28-04-2026">
      <inputCells r="G2" val="0.05"/>
    </scenario>
    <scenario name="High Discount" locked="1" count="1" user="DELL" comment="Created by DELL on 28-04-2026">
      <inputCells r="G2" val="0.4"/>
    </scenario>
  </scenarios>
  <conditionalFormatting sqref="A2:L201">
    <cfRule type="expression" dxfId="0" priority="1">
      <formula>$E2&gt;=LARGE($E$2:$E$201, 10)</formula>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38C6-E896-4563-A136-8F462FA792DD}">
  <dimension ref="A2:I40"/>
  <sheetViews>
    <sheetView workbookViewId="0">
      <selection activeCell="A23" sqref="A23:I23"/>
    </sheetView>
  </sheetViews>
  <sheetFormatPr defaultRowHeight="14.5" x14ac:dyDescent="0.35"/>
  <cols>
    <col min="1" max="1" width="16.81640625" bestFit="1" customWidth="1"/>
    <col min="2" max="2" width="18.36328125" customWidth="1"/>
    <col min="3" max="3" width="13.54296875" bestFit="1" customWidth="1"/>
    <col min="4" max="4" width="12.45312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2" spans="1:6" ht="18.5" x14ac:dyDescent="0.45">
      <c r="A2" s="72" t="s">
        <v>144</v>
      </c>
      <c r="B2" s="73"/>
      <c r="C2" s="73"/>
      <c r="E2" s="74" t="s">
        <v>5</v>
      </c>
      <c r="F2" s="75"/>
    </row>
    <row r="3" spans="1:6" x14ac:dyDescent="0.35">
      <c r="A3" s="16" t="s">
        <v>80</v>
      </c>
      <c r="B3" s="16" t="s">
        <v>2</v>
      </c>
      <c r="C3" s="16" t="s">
        <v>9</v>
      </c>
      <c r="E3" s="14"/>
      <c r="F3" s="14"/>
    </row>
    <row r="4" spans="1:6" x14ac:dyDescent="0.35">
      <c r="A4" s="15">
        <v>1</v>
      </c>
      <c r="B4" s="15" t="str">
        <f>INDEX(Dataset!$B:$B,MATCH(LARGE(Dataset!$I:$I,A4),Dataset!$I:$I,0))</f>
        <v>James Wilson</v>
      </c>
      <c r="C4" s="15">
        <f>LARGE(Dataset!$I:$I,A4)</f>
        <v>1538.9280000000001</v>
      </c>
      <c r="E4" s="14" t="s">
        <v>88</v>
      </c>
      <c r="F4" s="14">
        <v>976.08879999999965</v>
      </c>
    </row>
    <row r="5" spans="1:6" x14ac:dyDescent="0.35">
      <c r="A5" s="15">
        <v>2</v>
      </c>
      <c r="B5" s="15" t="str">
        <f>INDEX(Dataset!$B:$B,MATCH(LARGE(Dataset!$I:$I,A5),Dataset!$I:$I,0))</f>
        <v>Emma Davis</v>
      </c>
      <c r="C5" s="15">
        <f>LARGE(Dataset!$I:$I,A5)</f>
        <v>1494.1789999999999</v>
      </c>
      <c r="E5" s="14" t="s">
        <v>89</v>
      </c>
      <c r="F5" s="14">
        <v>21.161850448978406</v>
      </c>
    </row>
    <row r="6" spans="1:6" x14ac:dyDescent="0.35">
      <c r="A6" s="15">
        <v>3</v>
      </c>
      <c r="B6" s="15" t="str">
        <f>INDEX(Dataset!$B:$B,MATCH(LARGE(Dataset!$I:$I,A6),Dataset!$I:$I,0))</f>
        <v>David Brown</v>
      </c>
      <c r="C6" s="15">
        <f>LARGE(Dataset!$I:$I,A6)</f>
        <v>1493.49</v>
      </c>
      <c r="E6" s="14" t="s">
        <v>90</v>
      </c>
      <c r="F6" s="14">
        <v>976.72</v>
      </c>
    </row>
    <row r="7" spans="1:6" x14ac:dyDescent="0.35">
      <c r="A7" s="15">
        <v>4</v>
      </c>
      <c r="B7" s="15" t="str">
        <f>INDEX(Dataset!$B:$B,MATCH(LARGE(Dataset!$I:$I,A7),Dataset!$I:$I,0))</f>
        <v>Sarah Davis</v>
      </c>
      <c r="C7" s="15">
        <f>LARGE(Dataset!$I:$I,A7)</f>
        <v>1443.98</v>
      </c>
      <c r="E7" s="14" t="s">
        <v>91</v>
      </c>
      <c r="F7" s="14" t="e">
        <v>#N/A</v>
      </c>
    </row>
    <row r="8" spans="1:6" x14ac:dyDescent="0.35">
      <c r="A8" s="15">
        <v>5</v>
      </c>
      <c r="B8" s="15" t="str">
        <f>INDEX(Dataset!$B:$B,MATCH(LARGE(Dataset!$I:$I,A8),Dataset!$I:$I,0))</f>
        <v>Linda Brown</v>
      </c>
      <c r="C8" s="15">
        <f>LARGE(Dataset!$I:$I,A8)</f>
        <v>1410.59</v>
      </c>
      <c r="E8" s="14" t="s">
        <v>92</v>
      </c>
      <c r="F8" s="14">
        <v>299.27375909856431</v>
      </c>
    </row>
    <row r="9" spans="1:6" x14ac:dyDescent="0.35">
      <c r="A9" s="15">
        <v>6</v>
      </c>
      <c r="B9" s="15" t="str">
        <f>INDEX(Dataset!$B:$B,MATCH(LARGE(Dataset!$I:$I,A9),Dataset!$I:$I,0))</f>
        <v>David Anderson</v>
      </c>
      <c r="C9" s="15">
        <f>LARGE(Dataset!$I:$I,A9)</f>
        <v>1384.0930000000001</v>
      </c>
      <c r="E9" s="14" t="s">
        <v>93</v>
      </c>
      <c r="F9" s="14">
        <v>89564.782884985514</v>
      </c>
    </row>
    <row r="10" spans="1:6" x14ac:dyDescent="0.35">
      <c r="A10" s="15">
        <v>7</v>
      </c>
      <c r="B10" s="15" t="str">
        <f>INDEX(Dataset!$B:$B,MATCH(LARGE(Dataset!$I:$I,A10),Dataset!$I:$I,0))</f>
        <v>Mary Wilson</v>
      </c>
      <c r="C10" s="15">
        <f>LARGE(Dataset!$I:$I,A10)</f>
        <v>1360.36</v>
      </c>
      <c r="E10" s="14" t="s">
        <v>94</v>
      </c>
      <c r="F10" s="14">
        <v>-8.8595231919740502E-2</v>
      </c>
    </row>
    <row r="11" spans="1:6" x14ac:dyDescent="0.35">
      <c r="A11" s="15">
        <v>8</v>
      </c>
      <c r="B11" s="15" t="str">
        <f>INDEX(Dataset!$B:$B,MATCH(LARGE(Dataset!$I:$I,A11),Dataset!$I:$I,0))</f>
        <v>Mary Davis</v>
      </c>
      <c r="C11" s="15">
        <f>LARGE(Dataset!$I:$I,A11)</f>
        <v>1351.0070000000001</v>
      </c>
      <c r="E11" s="14" t="s">
        <v>95</v>
      </c>
      <c r="F11" s="14">
        <v>0.14685796564193557</v>
      </c>
    </row>
    <row r="12" spans="1:6" x14ac:dyDescent="0.35">
      <c r="A12" s="15">
        <v>9</v>
      </c>
      <c r="B12" s="15" t="str">
        <f>INDEX(Dataset!$B:$B,MATCH(LARGE(Dataset!$I:$I,A12),Dataset!$I:$I,0))</f>
        <v>Emma Wilson</v>
      </c>
      <c r="C12" s="15">
        <f>LARGE(Dataset!$I:$I,A12)</f>
        <v>1350.33</v>
      </c>
      <c r="E12" s="14" t="s">
        <v>96</v>
      </c>
      <c r="F12" s="14">
        <v>1665.15</v>
      </c>
    </row>
    <row r="13" spans="1:6" x14ac:dyDescent="0.35">
      <c r="A13" s="15">
        <v>10</v>
      </c>
      <c r="B13" s="15" t="str">
        <f>INDEX(Dataset!$B:$B,MATCH(LARGE(Dataset!$I:$I,A13),Dataset!$I:$I,0))</f>
        <v>James Wilson</v>
      </c>
      <c r="C13" s="15">
        <f>LARGE(Dataset!$I:$I,A13)</f>
        <v>1344.9680000000001</v>
      </c>
      <c r="E13" s="14" t="s">
        <v>97</v>
      </c>
      <c r="F13" s="14">
        <v>258.51</v>
      </c>
    </row>
    <row r="14" spans="1:6" x14ac:dyDescent="0.35">
      <c r="E14" s="14" t="s">
        <v>98</v>
      </c>
      <c r="F14" s="14">
        <v>1923.66</v>
      </c>
    </row>
    <row r="15" spans="1:6" x14ac:dyDescent="0.35">
      <c r="E15" s="14" t="s">
        <v>99</v>
      </c>
      <c r="F15" s="14">
        <v>195217.75999999992</v>
      </c>
    </row>
    <row r="16" spans="1:6" x14ac:dyDescent="0.35">
      <c r="E16" s="14" t="s">
        <v>100</v>
      </c>
      <c r="F16" s="14">
        <v>200</v>
      </c>
    </row>
    <row r="17" spans="1:9" x14ac:dyDescent="0.35">
      <c r="E17" s="14"/>
      <c r="F17" s="14">
        <v>1</v>
      </c>
    </row>
    <row r="23" spans="1:9" ht="23.5" x14ac:dyDescent="0.55000000000000004">
      <c r="A23" s="71" t="s">
        <v>101</v>
      </c>
      <c r="B23" s="71"/>
      <c r="C23" s="71"/>
      <c r="D23" s="71"/>
      <c r="E23" s="71"/>
      <c r="F23" s="71"/>
      <c r="G23" s="71"/>
      <c r="H23" s="71"/>
      <c r="I23" s="71"/>
    </row>
    <row r="24" spans="1:9" ht="15" thickBot="1" x14ac:dyDescent="0.4">
      <c r="A24" s="59"/>
      <c r="I24" s="56"/>
    </row>
    <row r="25" spans="1:9" x14ac:dyDescent="0.35">
      <c r="A25" s="60" t="s">
        <v>102</v>
      </c>
      <c r="B25" s="63"/>
      <c r="I25" s="56"/>
    </row>
    <row r="26" spans="1:9" x14ac:dyDescent="0.35">
      <c r="A26" s="59" t="s">
        <v>103</v>
      </c>
      <c r="B26" s="56">
        <v>0.77340306414342619</v>
      </c>
      <c r="I26" s="56"/>
    </row>
    <row r="27" spans="1:9" x14ac:dyDescent="0.35">
      <c r="A27" s="59" t="s">
        <v>104</v>
      </c>
      <c r="B27" s="56">
        <v>0.59815229962644056</v>
      </c>
      <c r="I27" s="56"/>
    </row>
    <row r="28" spans="1:9" x14ac:dyDescent="0.35">
      <c r="A28" s="59" t="s">
        <v>105</v>
      </c>
      <c r="B28" s="56">
        <v>0.59612276578617007</v>
      </c>
      <c r="I28" s="56"/>
    </row>
    <row r="29" spans="1:9" x14ac:dyDescent="0.35">
      <c r="A29" s="59" t="s">
        <v>89</v>
      </c>
      <c r="B29" s="56">
        <v>86.281230529665166</v>
      </c>
      <c r="I29" s="56"/>
    </row>
    <row r="30" spans="1:9" ht="15" thickBot="1" x14ac:dyDescent="0.4">
      <c r="A30" s="61" t="s">
        <v>106</v>
      </c>
      <c r="B30" s="58">
        <v>200</v>
      </c>
      <c r="I30" s="56"/>
    </row>
    <row r="31" spans="1:9" x14ac:dyDescent="0.35">
      <c r="A31" s="59"/>
      <c r="I31" s="56"/>
    </row>
    <row r="32" spans="1:9" ht="15" thickBot="1" x14ac:dyDescent="0.4">
      <c r="A32" s="59" t="s">
        <v>107</v>
      </c>
      <c r="I32" s="56"/>
    </row>
    <row r="33" spans="1:9" x14ac:dyDescent="0.35">
      <c r="A33" s="62"/>
      <c r="B33" s="13" t="s">
        <v>112</v>
      </c>
      <c r="C33" s="13" t="s">
        <v>113</v>
      </c>
      <c r="D33" s="13" t="s">
        <v>114</v>
      </c>
      <c r="E33" s="13" t="s">
        <v>115</v>
      </c>
      <c r="F33" s="57" t="s">
        <v>116</v>
      </c>
      <c r="I33" s="56"/>
    </row>
    <row r="34" spans="1:9" x14ac:dyDescent="0.35">
      <c r="A34" s="59" t="s">
        <v>108</v>
      </c>
      <c r="B34">
        <v>1</v>
      </c>
      <c r="C34">
        <v>2194058.1833402822</v>
      </c>
      <c r="D34">
        <v>2194058.1833402822</v>
      </c>
      <c r="E34">
        <v>294.72398427548114</v>
      </c>
      <c r="F34" s="56">
        <v>4.6269367558910499E-41</v>
      </c>
      <c r="I34" s="56"/>
    </row>
    <row r="35" spans="1:9" x14ac:dyDescent="0.35">
      <c r="A35" s="59" t="s">
        <v>109</v>
      </c>
      <c r="B35">
        <v>198</v>
      </c>
      <c r="C35">
        <v>1474001.2468592182</v>
      </c>
      <c r="D35">
        <v>7444.4507417132236</v>
      </c>
      <c r="F35" s="56"/>
      <c r="I35" s="56"/>
    </row>
    <row r="36" spans="1:9" ht="15" thickBot="1" x14ac:dyDescent="0.4">
      <c r="A36" s="61" t="s">
        <v>110</v>
      </c>
      <c r="B36" s="11">
        <v>199</v>
      </c>
      <c r="C36" s="11">
        <v>3668059.4301995002</v>
      </c>
      <c r="D36" s="11"/>
      <c r="E36" s="11"/>
      <c r="F36" s="58"/>
      <c r="I36" s="56"/>
    </row>
    <row r="37" spans="1:9" ht="15" thickBot="1" x14ac:dyDescent="0.4">
      <c r="A37" s="59"/>
      <c r="I37" s="56"/>
    </row>
    <row r="38" spans="1:9" x14ac:dyDescent="0.35">
      <c r="A38" s="62"/>
      <c r="B38" s="13" t="s">
        <v>117</v>
      </c>
      <c r="C38" s="13" t="s">
        <v>89</v>
      </c>
      <c r="D38" s="13" t="s">
        <v>118</v>
      </c>
      <c r="E38" s="13" t="s">
        <v>119</v>
      </c>
      <c r="F38" s="13" t="s">
        <v>120</v>
      </c>
      <c r="G38" s="13" t="s">
        <v>121</v>
      </c>
      <c r="H38" s="13" t="s">
        <v>122</v>
      </c>
      <c r="I38" s="57" t="s">
        <v>123</v>
      </c>
    </row>
    <row r="39" spans="1:9" x14ac:dyDescent="0.35">
      <c r="A39" s="59" t="s">
        <v>111</v>
      </c>
      <c r="B39">
        <v>-1.0315504901911368</v>
      </c>
      <c r="C39">
        <v>20.860617005445505</v>
      </c>
      <c r="D39">
        <v>-4.9449663445805959E-2</v>
      </c>
      <c r="E39">
        <v>0.96061079696907459</v>
      </c>
      <c r="F39">
        <v>-42.169051823378965</v>
      </c>
      <c r="G39">
        <v>40.105950842996691</v>
      </c>
      <c r="H39">
        <v>-42.169051823378965</v>
      </c>
      <c r="I39" s="56">
        <v>40.105950842996691</v>
      </c>
    </row>
    <row r="40" spans="1:9" ht="15" thickBot="1" x14ac:dyDescent="0.4">
      <c r="A40" s="61" t="s">
        <v>5</v>
      </c>
      <c r="B40" s="11">
        <v>0.35085598819512254</v>
      </c>
      <c r="C40" s="11">
        <v>2.0437188630135626E-2</v>
      </c>
      <c r="D40" s="11">
        <v>17.167527028535048</v>
      </c>
      <c r="E40" s="11">
        <v>4.6269367558907868E-41</v>
      </c>
      <c r="F40" s="11">
        <v>0.31055349501865764</v>
      </c>
      <c r="G40" s="11">
        <v>0.39115848137158743</v>
      </c>
      <c r="H40" s="11">
        <v>0.31055349501865764</v>
      </c>
      <c r="I40" s="58">
        <v>0.39115848137158743</v>
      </c>
    </row>
  </sheetData>
  <mergeCells count="3">
    <mergeCell ref="A23:I23"/>
    <mergeCell ref="A2:C2"/>
    <mergeCell ref="E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616B-0BF2-4AF3-807F-2B99DD8C96C5}">
  <dimension ref="A1:G58"/>
  <sheetViews>
    <sheetView tabSelected="1" workbookViewId="0">
      <selection activeCell="N18" sqref="N18"/>
    </sheetView>
  </sheetViews>
  <sheetFormatPr defaultRowHeight="14.5" x14ac:dyDescent="0.35"/>
  <cols>
    <col min="1" max="1" width="12.36328125" bestFit="1" customWidth="1"/>
    <col min="2" max="2" width="11.26953125" bestFit="1" customWidth="1"/>
    <col min="3" max="3" width="8.81640625" bestFit="1" customWidth="1"/>
    <col min="4" max="4" width="9.81640625" bestFit="1" customWidth="1"/>
    <col min="5" max="5" width="8.81640625" bestFit="1" customWidth="1"/>
    <col min="6" max="6" width="13.1796875" bestFit="1" customWidth="1"/>
    <col min="7" max="7" width="10.7265625" bestFit="1" customWidth="1"/>
  </cols>
  <sheetData>
    <row r="1" spans="1:7" ht="26" x14ac:dyDescent="0.6">
      <c r="A1" s="76" t="s">
        <v>141</v>
      </c>
      <c r="B1" s="73"/>
      <c r="C1" s="73"/>
    </row>
    <row r="3" spans="1:7" x14ac:dyDescent="0.35">
      <c r="A3" s="9" t="s">
        <v>84</v>
      </c>
      <c r="B3" s="9" t="s">
        <v>81</v>
      </c>
    </row>
    <row r="4" spans="1:7" x14ac:dyDescent="0.35">
      <c r="A4" s="9" t="s">
        <v>83</v>
      </c>
      <c r="B4" t="s">
        <v>13</v>
      </c>
      <c r="C4" t="s">
        <v>16</v>
      </c>
      <c r="D4" t="s">
        <v>22</v>
      </c>
      <c r="E4" t="s">
        <v>28</v>
      </c>
      <c r="F4" t="s">
        <v>40</v>
      </c>
      <c r="G4" t="s">
        <v>82</v>
      </c>
    </row>
    <row r="5" spans="1:7" x14ac:dyDescent="0.35">
      <c r="A5" s="10" t="s">
        <v>35</v>
      </c>
      <c r="B5">
        <v>11297.150000000001</v>
      </c>
      <c r="C5">
        <v>12200.26</v>
      </c>
      <c r="D5">
        <v>6621.24</v>
      </c>
      <c r="E5">
        <v>4876.96</v>
      </c>
      <c r="F5">
        <v>8472.7199999999993</v>
      </c>
      <c r="G5">
        <v>43468.33</v>
      </c>
    </row>
    <row r="6" spans="1:7" x14ac:dyDescent="0.35">
      <c r="A6" s="10" t="s">
        <v>19</v>
      </c>
      <c r="B6">
        <v>11389.090000000002</v>
      </c>
      <c r="C6">
        <v>2401.4499999999998</v>
      </c>
      <c r="D6">
        <v>2869.54</v>
      </c>
      <c r="E6">
        <v>7592.3399999999992</v>
      </c>
      <c r="F6">
        <v>8189.2200000000012</v>
      </c>
      <c r="G6">
        <v>32441.640000000003</v>
      </c>
    </row>
    <row r="7" spans="1:7" x14ac:dyDescent="0.35">
      <c r="A7" s="10" t="s">
        <v>25</v>
      </c>
      <c r="B7">
        <v>8037.0100000000011</v>
      </c>
      <c r="C7">
        <v>8422.82</v>
      </c>
      <c r="D7">
        <v>8191.7099999999991</v>
      </c>
      <c r="E7">
        <v>6978.08</v>
      </c>
      <c r="F7">
        <v>3345.8</v>
      </c>
      <c r="G7">
        <v>34975.420000000006</v>
      </c>
    </row>
    <row r="8" spans="1:7" x14ac:dyDescent="0.35">
      <c r="A8" s="10" t="s">
        <v>21</v>
      </c>
      <c r="B8">
        <v>9588.0400000000009</v>
      </c>
      <c r="C8">
        <v>8393.630000000001</v>
      </c>
      <c r="D8">
        <v>11989.070000000003</v>
      </c>
      <c r="E8">
        <v>7982.73</v>
      </c>
      <c r="F8">
        <v>2295.3199999999997</v>
      </c>
      <c r="G8">
        <v>40248.79</v>
      </c>
    </row>
    <row r="9" spans="1:7" x14ac:dyDescent="0.35">
      <c r="A9" s="10" t="s">
        <v>12</v>
      </c>
      <c r="B9">
        <v>6691.17</v>
      </c>
      <c r="C9">
        <v>10509.429999999998</v>
      </c>
      <c r="D9">
        <v>11372.44</v>
      </c>
      <c r="E9">
        <v>9182.7800000000007</v>
      </c>
      <c r="F9">
        <v>6327.76</v>
      </c>
      <c r="G9">
        <v>44083.58</v>
      </c>
    </row>
    <row r="10" spans="1:7" x14ac:dyDescent="0.35">
      <c r="A10" s="10" t="s">
        <v>82</v>
      </c>
      <c r="B10">
        <v>47002.460000000006</v>
      </c>
      <c r="C10">
        <v>41927.589999999997</v>
      </c>
      <c r="D10">
        <v>41044</v>
      </c>
      <c r="E10">
        <v>36612.89</v>
      </c>
      <c r="F10">
        <v>28630.82</v>
      </c>
      <c r="G10">
        <v>195217.76</v>
      </c>
    </row>
    <row r="29" spans="1:3" x14ac:dyDescent="0.35">
      <c r="A29" s="76" t="s">
        <v>142</v>
      </c>
      <c r="B29" s="76"/>
      <c r="C29" s="76"/>
    </row>
    <row r="30" spans="1:3" x14ac:dyDescent="0.35">
      <c r="A30" s="76"/>
      <c r="B30" s="76"/>
      <c r="C30" s="76"/>
    </row>
    <row r="32" spans="1:3" x14ac:dyDescent="0.35">
      <c r="A32" s="9" t="s">
        <v>83</v>
      </c>
      <c r="B32" t="s">
        <v>84</v>
      </c>
    </row>
    <row r="33" spans="1:2" x14ac:dyDescent="0.35">
      <c r="A33" s="10" t="s">
        <v>35</v>
      </c>
      <c r="B33">
        <v>43468.33</v>
      </c>
    </row>
    <row r="34" spans="1:2" x14ac:dyDescent="0.35">
      <c r="A34" s="10" t="s">
        <v>19</v>
      </c>
      <c r="B34">
        <v>32441.64</v>
      </c>
    </row>
    <row r="35" spans="1:2" x14ac:dyDescent="0.35">
      <c r="A35" s="10" t="s">
        <v>25</v>
      </c>
      <c r="B35">
        <v>34975.42</v>
      </c>
    </row>
    <row r="36" spans="1:2" x14ac:dyDescent="0.35">
      <c r="A36" s="10" t="s">
        <v>21</v>
      </c>
      <c r="B36">
        <v>40248.79</v>
      </c>
    </row>
    <row r="37" spans="1:2" x14ac:dyDescent="0.35">
      <c r="A37" s="10" t="s">
        <v>12</v>
      </c>
      <c r="B37">
        <v>44083.58</v>
      </c>
    </row>
    <row r="38" spans="1:2" x14ac:dyDescent="0.35">
      <c r="A38" s="10" t="s">
        <v>82</v>
      </c>
      <c r="B38">
        <v>195217.76</v>
      </c>
    </row>
    <row r="49" spans="1:3" x14ac:dyDescent="0.35">
      <c r="A49" s="76" t="s">
        <v>143</v>
      </c>
      <c r="B49" s="77"/>
      <c r="C49" s="77"/>
    </row>
    <row r="50" spans="1:3" x14ac:dyDescent="0.35">
      <c r="A50" s="77"/>
      <c r="B50" s="77"/>
      <c r="C50" s="77"/>
    </row>
    <row r="52" spans="1:3" x14ac:dyDescent="0.35">
      <c r="A52" s="9" t="s">
        <v>87</v>
      </c>
      <c r="B52" s="9" t="s">
        <v>81</v>
      </c>
    </row>
    <row r="53" spans="1:3" x14ac:dyDescent="0.35">
      <c r="A53" s="9" t="s">
        <v>83</v>
      </c>
      <c r="B53" t="s">
        <v>137</v>
      </c>
      <c r="C53" t="s">
        <v>82</v>
      </c>
    </row>
    <row r="54" spans="1:3" x14ac:dyDescent="0.35">
      <c r="A54" s="10" t="s">
        <v>138</v>
      </c>
      <c r="B54">
        <v>5763.4</v>
      </c>
      <c r="C54">
        <v>5763.4</v>
      </c>
    </row>
    <row r="55" spans="1:3" x14ac:dyDescent="0.35">
      <c r="A55" s="10" t="s">
        <v>139</v>
      </c>
      <c r="B55">
        <v>5039.2300000000005</v>
      </c>
      <c r="C55">
        <v>5039.2300000000005</v>
      </c>
    </row>
    <row r="56" spans="1:3" x14ac:dyDescent="0.35">
      <c r="A56" s="10" t="s">
        <v>140</v>
      </c>
      <c r="B56">
        <v>7071.3899999999994</v>
      </c>
      <c r="C56">
        <v>7071.3899999999994</v>
      </c>
    </row>
    <row r="57" spans="1:3" x14ac:dyDescent="0.35">
      <c r="A57" s="10" t="s">
        <v>86</v>
      </c>
      <c r="B57">
        <v>1398.85</v>
      </c>
      <c r="C57">
        <v>1398.85</v>
      </c>
    </row>
    <row r="58" spans="1:3" x14ac:dyDescent="0.35">
      <c r="A58" s="10" t="s">
        <v>82</v>
      </c>
      <c r="B58">
        <v>19272.87</v>
      </c>
      <c r="C58">
        <v>19272.87</v>
      </c>
    </row>
  </sheetData>
  <mergeCells count="3">
    <mergeCell ref="A1:C1"/>
    <mergeCell ref="A29:C30"/>
    <mergeCell ref="A49:C50"/>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3C9D-E12D-4E6A-B441-61C9EF7760FC}">
  <sheetPr>
    <outlinePr summaryBelow="0"/>
  </sheetPr>
  <dimension ref="B1:F11"/>
  <sheetViews>
    <sheetView showGridLines="0" workbookViewId="0">
      <selection activeCell="H18" sqref="H18"/>
    </sheetView>
  </sheetViews>
  <sheetFormatPr defaultRowHeight="14.5" outlineLevelRow="1" outlineLevelCol="1" x14ac:dyDescent="0.35"/>
  <cols>
    <col min="3" max="3" width="5.08984375" bestFit="1" customWidth="1"/>
    <col min="4" max="6" width="12.54296875" bestFit="1" customWidth="1" outlineLevel="1"/>
  </cols>
  <sheetData>
    <row r="1" spans="2:6" ht="15" thickBot="1" x14ac:dyDescent="0.4"/>
    <row r="2" spans="2:6" ht="15.5" x14ac:dyDescent="0.35">
      <c r="B2" s="23" t="s">
        <v>129</v>
      </c>
      <c r="C2" s="23"/>
      <c r="D2" s="27"/>
      <c r="E2" s="27"/>
      <c r="F2" s="27"/>
    </row>
    <row r="3" spans="2:6" ht="15.5" collapsed="1" x14ac:dyDescent="0.35">
      <c r="B3" s="22"/>
      <c r="C3" s="22"/>
      <c r="D3" s="28" t="s">
        <v>131</v>
      </c>
      <c r="E3" s="28" t="s">
        <v>128</v>
      </c>
      <c r="F3" s="28" t="s">
        <v>127</v>
      </c>
    </row>
    <row r="4" spans="2:6" ht="21" hidden="1" outlineLevel="1" x14ac:dyDescent="0.35">
      <c r="B4" s="24"/>
      <c r="C4" s="24"/>
      <c r="E4" s="30" t="s">
        <v>126</v>
      </c>
      <c r="F4" s="30" t="s">
        <v>126</v>
      </c>
    </row>
    <row r="5" spans="2:6" x14ac:dyDescent="0.35">
      <c r="B5" s="25" t="s">
        <v>130</v>
      </c>
      <c r="C5" s="25"/>
      <c r="D5" s="12"/>
      <c r="E5" s="12"/>
      <c r="F5" s="12"/>
    </row>
    <row r="6" spans="2:6" outlineLevel="1" x14ac:dyDescent="0.35">
      <c r="B6" s="24"/>
      <c r="C6" s="24" t="s">
        <v>124</v>
      </c>
      <c r="D6">
        <v>0.2</v>
      </c>
      <c r="E6" s="29">
        <v>0.05</v>
      </c>
      <c r="F6" s="29">
        <v>0.4</v>
      </c>
    </row>
    <row r="7" spans="2:6" x14ac:dyDescent="0.35">
      <c r="B7" s="25" t="s">
        <v>132</v>
      </c>
      <c r="C7" s="25"/>
      <c r="D7" s="12"/>
      <c r="E7" s="12"/>
      <c r="F7" s="12"/>
    </row>
    <row r="8" spans="2:6" ht="15" outlineLevel="1" thickBot="1" x14ac:dyDescent="0.4">
      <c r="B8" s="26"/>
      <c r="C8" s="26" t="s">
        <v>125</v>
      </c>
      <c r="D8" s="11">
        <v>828.87199999999996</v>
      </c>
      <c r="E8" s="11">
        <v>984.28549999999996</v>
      </c>
      <c r="F8" s="11">
        <v>621.654</v>
      </c>
    </row>
    <row r="9" spans="2:6" x14ac:dyDescent="0.35">
      <c r="B9" t="s">
        <v>133</v>
      </c>
    </row>
    <row r="10" spans="2:6" x14ac:dyDescent="0.35">
      <c r="B10" t="s">
        <v>134</v>
      </c>
    </row>
    <row r="11" spans="2:6" x14ac:dyDescent="0.35">
      <c r="B11"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Project Instructions</vt:lpstr>
      <vt:lpstr>Dataset</vt:lpstr>
      <vt:lpstr>Analysis</vt:lpstr>
      <vt:lpstr>Charts</vt:lpstr>
      <vt:lpstr>Scenario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 K</cp:lastModifiedBy>
  <dcterms:modified xsi:type="dcterms:W3CDTF">2026-04-29T04:19:10Z</dcterms:modified>
</cp:coreProperties>
</file>